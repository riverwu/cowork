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qiuyu/Documents/Netease/项目/人力数据分析/2025年数据分析/"/>
    </mc:Choice>
  </mc:AlternateContent>
  <xr:revisionPtr revIDLastSave="0" documentId="13_ncr:1_{8AC20283-60F7-4049-9FB0-04ABC83C3CB3}" xr6:coauthVersionLast="47" xr6:coauthVersionMax="47" xr10:uidLastSave="{00000000-0000-0000-0000-000000000000}"/>
  <bookViews>
    <workbookView xWindow="0" yWindow="500" windowWidth="28800" windowHeight="15760" activeTab="1" xr2:uid="{7CB05736-647B-AC4F-9CD9-CA17FF30CA25}"/>
  </bookViews>
  <sheets>
    <sheet name="底表" sheetId="1" r:id="rId1"/>
    <sheet name="主要发现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2" l="1"/>
  <c r="L34" i="2" s="1"/>
  <c r="B35" i="2"/>
  <c r="F35" i="2"/>
  <c r="M31" i="2" s="1"/>
  <c r="E35" i="2"/>
  <c r="L32" i="2" l="1"/>
  <c r="L33" i="2"/>
  <c r="L31" i="2"/>
  <c r="G35" i="2"/>
  <c r="M34" i="2"/>
  <c r="M32" i="2"/>
  <c r="M30" i="2"/>
  <c r="M33" i="2"/>
  <c r="L30" i="2"/>
  <c r="F8" i="2" l="1"/>
  <c r="F9" i="2"/>
  <c r="I34" i="2"/>
  <c r="H34" i="2"/>
  <c r="G34" i="2"/>
  <c r="D34" i="2"/>
  <c r="I33" i="2"/>
  <c r="H33" i="2"/>
  <c r="G33" i="2"/>
  <c r="D33" i="2"/>
  <c r="I32" i="2"/>
  <c r="H32" i="2"/>
  <c r="G32" i="2"/>
  <c r="D32" i="2"/>
  <c r="I31" i="2"/>
  <c r="H31" i="2"/>
  <c r="G31" i="2"/>
  <c r="D31" i="2"/>
  <c r="I30" i="2"/>
  <c r="H30" i="2"/>
  <c r="G30" i="2"/>
  <c r="D30" i="2"/>
  <c r="D66" i="1"/>
  <c r="D67" i="1"/>
  <c r="D68" i="1"/>
  <c r="D69" i="1"/>
  <c r="D65" i="1"/>
  <c r="C70" i="1"/>
  <c r="C71" i="1" s="1"/>
  <c r="B70" i="1"/>
  <c r="B71" i="1" s="1"/>
  <c r="I66" i="1"/>
  <c r="J66" i="1" s="1"/>
  <c r="I67" i="1"/>
  <c r="I68" i="1"/>
  <c r="I69" i="1"/>
  <c r="I65" i="1"/>
  <c r="H66" i="1"/>
  <c r="H67" i="1"/>
  <c r="H68" i="1"/>
  <c r="H69" i="1"/>
  <c r="H65" i="1"/>
  <c r="G66" i="1"/>
  <c r="G67" i="1"/>
  <c r="G68" i="1"/>
  <c r="G69" i="1"/>
  <c r="G65" i="1"/>
  <c r="H54" i="1"/>
  <c r="C55" i="1"/>
  <c r="D55" i="1"/>
  <c r="E55" i="1"/>
  <c r="B55" i="1"/>
  <c r="I60" i="1"/>
  <c r="H60" i="1"/>
  <c r="I59" i="1"/>
  <c r="H59" i="1"/>
  <c r="J58" i="1"/>
  <c r="I58" i="1"/>
  <c r="H58" i="1"/>
  <c r="I57" i="1"/>
  <c r="H57" i="1"/>
  <c r="I56" i="1"/>
  <c r="H56" i="1"/>
  <c r="J54" i="1"/>
  <c r="I54" i="1"/>
  <c r="J53" i="1"/>
  <c r="I53" i="1"/>
  <c r="H53" i="1"/>
  <c r="J52" i="1"/>
  <c r="I52" i="1"/>
  <c r="H52" i="1"/>
  <c r="I51" i="1"/>
  <c r="H51" i="1"/>
  <c r="C23" i="2"/>
  <c r="B23" i="2"/>
  <c r="F10" i="2" l="1"/>
  <c r="G55" i="1"/>
  <c r="H55" i="1" s="1"/>
  <c r="J65" i="1"/>
  <c r="J67" i="1"/>
  <c r="F55" i="1"/>
  <c r="J69" i="1"/>
  <c r="J68" i="1"/>
  <c r="J55" i="1"/>
  <c r="I55" i="1"/>
  <c r="J31" i="2"/>
  <c r="J32" i="2"/>
  <c r="J33" i="2"/>
  <c r="J30" i="2"/>
  <c r="J34" i="2"/>
  <c r="D23" i="2"/>
  <c r="B18" i="1"/>
  <c r="C9" i="1" l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B9" i="1"/>
  <c r="R31" i="1"/>
  <c r="S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S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C31" i="1"/>
  <c r="C29" i="1"/>
  <c r="C30" i="1"/>
  <c r="B29" i="1"/>
  <c r="B30" i="1"/>
  <c r="B31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B28" i="1"/>
  <c r="N27" i="1"/>
  <c r="C27" i="1"/>
  <c r="B27" i="1"/>
  <c r="D27" i="1"/>
  <c r="E27" i="1"/>
  <c r="F27" i="1"/>
  <c r="G27" i="1"/>
  <c r="H27" i="1"/>
  <c r="I27" i="1"/>
  <c r="J27" i="1"/>
  <c r="K27" i="1"/>
  <c r="L27" i="1"/>
  <c r="M27" i="1"/>
  <c r="O27" i="1"/>
  <c r="P27" i="1"/>
  <c r="Q27" i="1"/>
  <c r="R27" i="1"/>
  <c r="S27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G17" i="1"/>
  <c r="F17" i="1"/>
  <c r="E17" i="1"/>
  <c r="D17" i="1"/>
  <c r="C17" i="1"/>
  <c r="B17" i="1"/>
  <c r="R14" i="1" l="1"/>
</calcChain>
</file>

<file path=xl/sharedStrings.xml><?xml version="1.0" encoding="utf-8"?>
<sst xmlns="http://schemas.openxmlformats.org/spreadsheetml/2006/main" count="181" uniqueCount="136">
  <si>
    <t>单位：万元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</si>
  <si>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</si>
  <si>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</si>
  <si>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</si>
  <si>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</si>
  <si>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</si>
  <si>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</si>
  <si>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</si>
  <si>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</si>
  <si>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</si>
  <si>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</si>
  <si>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</si>
  <si>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</si>
  <si>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</si>
  <si>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</si>
  <si>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</si>
  <si>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</si>
  <si>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</si>
  <si>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</si>
  <si>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销售额（含税）</t>
  </si>
  <si>
    <t>SI收入（未税）</t>
  </si>
  <si>
    <t>销售人员支出</t>
  </si>
  <si>
    <t>市场人员支出</t>
  </si>
  <si>
    <t>COR人力成本</t>
    <phoneticPr fontId="5" type="noConversion"/>
  </si>
  <si>
    <t>研发人员支出</t>
  </si>
  <si>
    <t>公共职能分摊</t>
  </si>
  <si>
    <t>人效</t>
    <phoneticPr fontId="6" type="noConversion"/>
  </si>
  <si>
    <t>COR人力成本</t>
  </si>
  <si>
    <t>人数：正式+外包</t>
  </si>
  <si>
    <t>人效</t>
  </si>
  <si>
    <t>收入(未税)</t>
    <phoneticPr fontId="5" type="noConversion"/>
  </si>
  <si>
    <t>销售人力成本</t>
    <phoneticPr fontId="5" type="noConversion"/>
  </si>
  <si>
    <t>市场人力成本</t>
    <phoneticPr fontId="5" type="noConversion"/>
  </si>
  <si>
    <t>研发人力成本</t>
    <phoneticPr fontId="5" type="noConversion"/>
  </si>
  <si>
    <t>公共人力成本</t>
    <phoneticPr fontId="5" type="noConversion"/>
  </si>
  <si>
    <t>人数</t>
    <phoneticPr fontId="5" type="noConversion"/>
  </si>
  <si>
    <t>人力成本占比</t>
    <phoneticPr fontId="3" type="noConversion"/>
  </si>
  <si>
    <t>销售</t>
    <phoneticPr fontId="3" type="noConversion"/>
  </si>
  <si>
    <t>市场</t>
    <phoneticPr fontId="3" type="noConversion"/>
  </si>
  <si>
    <t>COR</t>
    <phoneticPr fontId="3" type="noConversion"/>
  </si>
  <si>
    <t>研发</t>
    <phoneticPr fontId="3" type="noConversion"/>
  </si>
  <si>
    <t>公共</t>
    <phoneticPr fontId="3" type="noConversion"/>
  </si>
  <si>
    <t>同比比情况</t>
    <phoneticPr fontId="6" type="noConversion"/>
  </si>
  <si>
    <t>总人力成本</t>
    <phoneticPr fontId="3" type="noConversion"/>
  </si>
  <si>
    <t>24年H1累计收入</t>
  </si>
  <si>
    <t>25年H1累计收入</t>
  </si>
  <si>
    <t>2024H1累计成本</t>
  </si>
  <si>
    <t>2025H1累计成本</t>
  </si>
  <si>
    <t>24年人力成本ROI</t>
  </si>
  <si>
    <t>25年人力成本ROI</t>
  </si>
  <si>
    <t>人力成本ROI同比</t>
  </si>
  <si>
    <t>收入同比</t>
  </si>
  <si>
    <t>天猫</t>
  </si>
  <si>
    <t>京东</t>
  </si>
  <si>
    <t>抖音-官方</t>
  </si>
  <si>
    <t>抖音-学习用品</t>
  </si>
  <si>
    <t>达播</t>
  </si>
  <si>
    <t>拼多多</t>
  </si>
  <si>
    <t>线下经销</t>
  </si>
  <si>
    <t>线上经销</t>
  </si>
  <si>
    <t>海外</t>
  </si>
  <si>
    <t>7.31人数</t>
    <phoneticPr fontId="3" type="noConversion"/>
  </si>
  <si>
    <t>Headcount YoY</t>
  </si>
  <si>
    <r>
      <t>3月</t>
    </r>
    <r>
      <rPr>
        <b/>
        <sz val="10"/>
        <color rgb="FF000000"/>
        <rFont val="SimSun"/>
        <family val="2"/>
        <charset val="134"/>
      </rPr>
      <t/>
    </r>
  </si>
  <si>
    <r>
      <t>4月</t>
    </r>
    <r>
      <rPr>
        <b/>
        <sz val="10"/>
        <color rgb="FF000000"/>
        <rFont val="SimSun"/>
        <family val="2"/>
        <charset val="134"/>
      </rPr>
      <t/>
    </r>
  </si>
  <si>
    <r>
      <t>5月</t>
    </r>
    <r>
      <rPr>
        <b/>
        <sz val="10"/>
        <color rgb="FF000000"/>
        <rFont val="SimSun"/>
        <family val="2"/>
        <charset val="134"/>
      </rPr>
      <t/>
    </r>
  </si>
  <si>
    <r>
      <t>6月</t>
    </r>
    <r>
      <rPr>
        <b/>
        <sz val="10"/>
        <color rgb="FF000000"/>
        <rFont val="SimSun"/>
        <family val="2"/>
        <charset val="134"/>
      </rPr>
      <t/>
    </r>
  </si>
  <si>
    <t>人力成本 YoY</t>
    <phoneticPr fontId="3" type="noConversion"/>
  </si>
  <si>
    <t>人效YoY</t>
    <phoneticPr fontId="3" type="noConversion"/>
  </si>
  <si>
    <t>1月</t>
    <phoneticPr fontId="3" type="noConversion"/>
  </si>
  <si>
    <t>2月</t>
    <phoneticPr fontId="3" type="noConversion"/>
  </si>
  <si>
    <t>H1‑2024</t>
  </si>
  <si>
    <t>H1‑2025</t>
  </si>
  <si>
    <t>Δ YoY</t>
  </si>
  <si>
    <t>维度</t>
  </si>
  <si>
    <t>关键结论</t>
  </si>
  <si>
    <t>营收 (SI, 未税)</t>
  </si>
  <si>
    <t>2025 H1 累计 2.92 亿元，较 2024 H1 下滑 -7.6%。峰值仍出现在 2024 Q3，随后呈阶梯式回落。</t>
  </si>
  <si>
    <t>总人力成本</t>
  </si>
  <si>
    <t>人数 (正式+外包)</t>
  </si>
  <si>
    <t>月均 271 人，较去年同期-17%；3 月之后基本稳定在 260–280 人区间。</t>
  </si>
  <si>
    <t>人效 (营收/人)</t>
  </si>
  <si>
    <t>营收</t>
    <phoneticPr fontId="3" type="noConversion"/>
  </si>
  <si>
    <t>营收YoY</t>
    <phoneticPr fontId="3" type="noConversion"/>
  </si>
  <si>
    <t>人力成本</t>
    <phoneticPr fontId="3" type="noConversion"/>
  </si>
  <si>
    <t>HC (avg)</t>
    <phoneticPr fontId="3" type="noConversion"/>
  </si>
  <si>
    <t>人力成本roi（营收/成本）</t>
    <phoneticPr fontId="3" type="noConversion"/>
  </si>
  <si>
    <t>同期降至 0.73 亿元，YoY -28.1%；降本幅度远超营收跌幅，主要来自销售/市场产研团队团队压缩收紧。</t>
    <phoneticPr fontId="3" type="noConversion"/>
  </si>
  <si>
    <t>抖音—合并</t>
    <phoneticPr fontId="3" type="noConversion"/>
  </si>
  <si>
    <t>项目</t>
    <phoneticPr fontId="3" type="noConversion"/>
  </si>
  <si>
    <t>月份</t>
    <phoneticPr fontId="3" type="noConversion"/>
  </si>
  <si>
    <t>渠道</t>
  </si>
  <si>
    <t>24 年 H1 收入</t>
  </si>
  <si>
    <t>25 年 H1 收入</t>
  </si>
  <si>
    <t>收入同比 %</t>
  </si>
  <si>
    <t>24 年 H1 成本</t>
  </si>
  <si>
    <t>25 年 H1 成本</t>
  </si>
  <si>
    <t>成本同比 %</t>
  </si>
  <si>
    <t>ROI 变化</t>
  </si>
  <si>
    <t>24 年 人力成本ROI</t>
    <phoneticPr fontId="3" type="noConversion"/>
  </si>
  <si>
    <t>25 年人力成本 ROI</t>
    <phoneticPr fontId="3" type="noConversion"/>
  </si>
  <si>
    <t>25 年7月在编人数</t>
    <phoneticPr fontId="3" type="noConversion"/>
  </si>
  <si>
    <r>
      <t>抖音</t>
    </r>
    <r>
      <rPr>
        <sz val="12"/>
        <color theme="1"/>
        <rFont val="微软雅黑"/>
        <family val="2"/>
        <charset val="134"/>
      </rPr>
      <t xml:space="preserve"> (合并)</t>
    </r>
  </si>
  <si>
    <t>人效(avg)</t>
    <phoneticPr fontId="3" type="noConversion"/>
  </si>
  <si>
    <r>
      <t>抖音</t>
    </r>
    <r>
      <rPr>
        <sz val="11"/>
        <color theme="1"/>
        <rFont val="微软雅黑"/>
        <family val="2"/>
        <charset val="134"/>
      </rPr>
      <t xml:space="preserve"> (合并)</t>
    </r>
  </si>
  <si>
    <t>整体</t>
    <phoneticPr fontId="3" type="noConversion"/>
  </si>
  <si>
    <t>营收下滑速度快于成本压降 → 人力占比被动上升，拖累整体盈利能力。</t>
    <phoneticPr fontId="3" type="noConversion"/>
  </si>
  <si>
    <t>研发效率</t>
    <phoneticPr fontId="3" type="noConversion"/>
  </si>
  <si>
    <t>产品设计教研</t>
    <phoneticPr fontId="5" type="noConversion"/>
  </si>
  <si>
    <t>研发</t>
  </si>
  <si>
    <t>供应链</t>
  </si>
  <si>
    <t>市场</t>
  </si>
  <si>
    <t>销售</t>
  </si>
  <si>
    <t>售后</t>
  </si>
  <si>
    <t>职能</t>
    <phoneticPr fontId="3" type="noConversion"/>
  </si>
  <si>
    <t>人数</t>
    <phoneticPr fontId="3" type="noConversion"/>
  </si>
  <si>
    <t>合计</t>
    <phoneticPr fontId="3" type="noConversion"/>
  </si>
  <si>
    <t>AI分摊</t>
    <phoneticPr fontId="3" type="noConversion"/>
  </si>
  <si>
    <r>
      <t>25年H1抖音收入在渠道占比中提升了6%，但是渠道利润率低，</t>
    </r>
    <r>
      <rPr>
        <b/>
        <sz val="12"/>
        <color theme="3" tint="0.249977111117893"/>
        <rFont val="微软雅黑"/>
        <family val="2"/>
        <charset val="134"/>
      </rPr>
      <t>可合并抖音团队or缩减直播间</t>
    </r>
    <phoneticPr fontId="3" type="noConversion"/>
  </si>
  <si>
    <t>一、YTD各职能人力占比</t>
    <phoneticPr fontId="3" type="noConversion"/>
  </si>
  <si>
    <t>备注</t>
    <phoneticPr fontId="3" type="noConversion"/>
  </si>
  <si>
    <t>79外包</t>
    <phoneticPr fontId="3" type="noConversion"/>
  </si>
  <si>
    <t>24外包</t>
    <phoneticPr fontId="3" type="noConversion"/>
  </si>
  <si>
    <t>103外包</t>
    <phoneticPr fontId="3" type="noConversion"/>
  </si>
  <si>
    <t>二、半年度营收&amp;人力同比</t>
    <phoneticPr fontId="3" type="noConversion"/>
  </si>
  <si>
    <t>人力效率有所提升</t>
    <phoneticPr fontId="3" type="noConversion"/>
  </si>
  <si>
    <t xml:space="preserve"> </t>
    <phoneticPr fontId="3" type="noConversion"/>
  </si>
  <si>
    <t>H1 均值 18 万元/人，YoY +8.9%；结构性波动明显：2024 年最高 9 月达 48 万元/人，2025 年 5 月低谷仅 11 万元/人。</t>
    <phoneticPr fontId="3" type="noConversion"/>
  </si>
  <si>
    <t>24年全年推出7款SKU，25年上半年5款，研发效率有一定程度提升</t>
    <phoneticPr fontId="3" type="noConversion"/>
  </si>
  <si>
    <t>三、渠道分析（只分析部分主力渠道）</t>
    <phoneticPr fontId="3" type="noConversion"/>
  </si>
  <si>
    <t>25渠道/总渠道收入</t>
    <phoneticPr fontId="3" type="noConversion"/>
  </si>
  <si>
    <t>25人力/总人力收入</t>
    <phoneticPr fontId="3" type="noConversion"/>
  </si>
  <si>
    <t>四、整体发现</t>
    <phoneticPr fontId="3" type="noConversion"/>
  </si>
  <si>
    <t>渠道效率</t>
    <phoneticPr fontId="3" type="noConversion"/>
  </si>
  <si>
    <r>
      <t>线下经销营同比跌67%，且 ROI 显著恶化，是主要拖累项；线下经销人数占 65 %，却仅贡献 8.6 % 的收入，人效极低，</t>
    </r>
    <r>
      <rPr>
        <b/>
        <sz val="12"/>
        <color theme="3" tint="0.249977111117893"/>
        <rFont val="微软雅黑"/>
        <family val="2"/>
        <charset val="134"/>
      </rPr>
      <t>需要重新做人力规划</t>
    </r>
    <phoneticPr fontId="3" type="noConversion"/>
  </si>
  <si>
    <r>
      <t>京东营收掉了三成，人力成本逆势增加；但京东仍然是人力高roi渠道，</t>
    </r>
    <r>
      <rPr>
        <b/>
        <sz val="12"/>
        <color theme="3" tint="0.249977111117893"/>
        <rFont val="微软雅黑"/>
        <family val="2"/>
        <charset val="134"/>
      </rPr>
      <t>需提升团队人员质量，进行人才升级。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</si>
</sst>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76" formatCode="_ * #,##0.00_ ;_ * \-#,##0.00_ ;_ * &quot;-&quot;??_ ;_ @_ "/>
    <numFmt numFmtId="177" formatCode="_(* #,##0_);[Red]_(* \(#,##0\);_(* &quot;-&quot;??_)"/>
    <numFmt numFmtId="178" formatCode="0_ "/>
    <numFmt numFmtId="179" formatCode="0.0%"/>
    <numFmt numFmtId="180" formatCode="_ * #,##0_ ;_ * \-#,##0_ ;_ * &quot;-&quot;??_ ;_ @_ "/>
    <numFmt numFmtId="181" formatCode="0.0_ "/>
  </numFmts>
  <fonts count="25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4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0"/>
      <color rgb="FF000000"/>
      <name val="SimSun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3.5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3" tint="0.249977111117893"/>
      <name val="微软雅黑"/>
      <family val="2"/>
      <charset val="134"/>
    </font>
    <font>
      <b/>
      <sz val="12"/>
      <color rgb="FFC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71">
    <xf numFmtId="0" fontId="0" fillId="0" borderId="0" xfId="0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4" fillId="2" borderId="1" xfId="2" applyNumberFormat="1" applyFont="1" applyFill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180" fontId="10" fillId="3" borderId="2" xfId="2" applyNumberFormat="1" applyFont="1" applyFill="1" applyBorder="1" applyAlignment="1">
      <alignment horizontal="center" vertical="center" wrapText="1"/>
    </xf>
    <xf numFmtId="0" fontId="7" fillId="0" borderId="0" xfId="3">
      <alignment vertical="center"/>
    </xf>
    <xf numFmtId="180" fontId="7" fillId="0" borderId="0" xfId="2" applyNumberFormat="1" applyFont="1">
      <alignment vertical="center"/>
    </xf>
    <xf numFmtId="179" fontId="7" fillId="0" borderId="0" xfId="2" applyNumberFormat="1" applyFont="1">
      <alignment vertical="center"/>
    </xf>
    <xf numFmtId="9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80" fontId="10" fillId="4" borderId="2" xfId="2" applyNumberFormat="1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/>
    </xf>
    <xf numFmtId="0" fontId="11" fillId="0" borderId="0" xfId="0" applyFont="1">
      <alignment vertical="center"/>
    </xf>
    <xf numFmtId="3" fontId="15" fillId="0" borderId="0" xfId="0" applyNumberFormat="1" applyFont="1">
      <alignment vertical="center"/>
    </xf>
    <xf numFmtId="179" fontId="11" fillId="0" borderId="0" xfId="0" applyNumberFormat="1" applyFont="1">
      <alignment vertical="center"/>
    </xf>
    <xf numFmtId="0" fontId="15" fillId="0" borderId="0" xfId="0" applyFont="1">
      <alignment vertical="center"/>
    </xf>
    <xf numFmtId="179" fontId="11" fillId="0" borderId="0" xfId="0" applyNumberFormat="1" applyFont="1" applyAlignment="1">
      <alignment horizontal="center" vertical="center"/>
    </xf>
    <xf numFmtId="181" fontId="11" fillId="0" borderId="0" xfId="0" applyNumberFormat="1" applyFont="1">
      <alignment vertical="center"/>
    </xf>
    <xf numFmtId="179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9" fontId="15" fillId="0" borderId="0" xfId="0" applyNumberFormat="1" applyFont="1" applyAlignment="1">
      <alignment horizontal="center" vertical="center"/>
    </xf>
    <xf numFmtId="0" fontId="15" fillId="0" borderId="1" xfId="0" applyFont="1" applyBorder="1">
      <alignment vertical="center"/>
    </xf>
    <xf numFmtId="0" fontId="22" fillId="5" borderId="1" xfId="0" applyFont="1" applyFill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1" fontId="18" fillId="0" borderId="1" xfId="0" applyNumberFormat="1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center" vertical="center"/>
    </xf>
    <xf numFmtId="181" fontId="18" fillId="0" borderId="1" xfId="0" applyNumberFormat="1" applyFont="1" applyBorder="1">
      <alignment vertical="center"/>
    </xf>
    <xf numFmtId="0" fontId="21" fillId="5" borderId="1" xfId="0" applyFont="1" applyFill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20" fillId="0" borderId="1" xfId="0" applyNumberFormat="1" applyFont="1" applyBorder="1">
      <alignment vertical="center"/>
    </xf>
    <xf numFmtId="0" fontId="20" fillId="0" borderId="1" xfId="0" applyFont="1" applyBorder="1">
      <alignment vertical="center"/>
    </xf>
    <xf numFmtId="179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 wrapText="1"/>
    </xf>
    <xf numFmtId="179" fontId="20" fillId="0" borderId="1" xfId="0" applyNumberFormat="1" applyFont="1" applyBorder="1">
      <alignment vertical="center"/>
    </xf>
    <xf numFmtId="181" fontId="20" fillId="0" borderId="1" xfId="0" applyNumberFormat="1" applyFont="1" applyBorder="1">
      <alignment vertical="center"/>
    </xf>
    <xf numFmtId="0" fontId="21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vertical="center" wrapText="1"/>
    </xf>
    <xf numFmtId="179" fontId="15" fillId="0" borderId="1" xfId="1" applyNumberFormat="1" applyFont="1" applyBorder="1" applyAlignment="1">
      <alignment horizontal="center" vertical="center"/>
    </xf>
    <xf numFmtId="3" fontId="20" fillId="0" borderId="0" xfId="0" applyNumberFormat="1" applyFont="1">
      <alignment vertical="center"/>
    </xf>
    <xf numFmtId="179" fontId="2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/>
    </xf>
  </cellXfs>
  <cellStyles count="4">
    <cellStyle name="百分比" xfId="1" builtinId="5"/>
    <cellStyle name="常规" xfId="0" builtinId="0"/>
    <cellStyle name="常规 2 3 2 2" xfId="3" xr:uid="{E2B9FE89-9DA5-C147-83C4-BD0C6FB4E688}"/>
    <cellStyle name="千位分隔 2 2 2" xfId="2" xr:uid="{058789B7-A8A0-214E-97FF-1F10BF7653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各职能人力占比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BF-C34B-87AD-ECF76A10284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BF-C34B-87AD-ECF76A10284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BF-C34B-87AD-ECF76A10284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BF-C34B-87AD-ECF76A10284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BF-C34B-87AD-ECF76A10284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BF-C34B-87AD-ECF76A1028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[1]Sheet3!$A$2:$A$7</c:f>
              <c:strCache>
                <c:ptCount val="6"/>
                <c:pt idx="0">
                  <c:v>产品设计教研</c:v>
                </c:pt>
                <c:pt idx="1">
                  <c:v>研发</c:v>
                </c:pt>
                <c:pt idx="2">
                  <c:v>供应链</c:v>
                </c:pt>
                <c:pt idx="3">
                  <c:v>市场</c:v>
                </c:pt>
                <c:pt idx="4">
                  <c:v>销售</c:v>
                </c:pt>
                <c:pt idx="5">
                  <c:v>售后</c:v>
                </c:pt>
              </c:strCache>
            </c:strRef>
          </c:cat>
          <c:val>
            <c:numRef>
              <c:f>[1]Sheet3!$B$2:$B$7</c:f>
              <c:numCache>
                <c:formatCode>General</c:formatCode>
                <c:ptCount val="6"/>
                <c:pt idx="0">
                  <c:v>19</c:v>
                </c:pt>
                <c:pt idx="1">
                  <c:v>55</c:v>
                </c:pt>
                <c:pt idx="2">
                  <c:v>8</c:v>
                </c:pt>
                <c:pt idx="3">
                  <c:v>15</c:v>
                </c:pt>
                <c:pt idx="4">
                  <c:v>150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BF-C34B-87AD-ECF76A10284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63500</xdr:rowOff>
    </xdr:from>
    <xdr:to>
      <xdr:col>3</xdr:col>
      <xdr:colOff>266700</xdr:colOff>
      <xdr:row>13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9B65962-B1A0-4B4D-A903-57B64E1E2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ngqiuyu/Documents/Netease/&#33457;&#21517;&#20876;/&#33457;&#21517;&#20876;-0731.xlsx" TargetMode="External"/><Relationship Id="rId1" Type="http://schemas.openxmlformats.org/officeDocument/2006/relationships/externalLinkPath" Target="/Users/wangqiuyu/Documents/Netease/&#33457;&#21517;&#20876;/&#33457;&#21517;&#20876;-07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0"/>
      <sheetName val="Sheet2"/>
      <sheetName val="Sheet0 (2)"/>
      <sheetName val="Sheet3"/>
    </sheetNames>
    <sheetDataSet>
      <sheetData sheetId="0"/>
      <sheetData sheetId="1"/>
      <sheetData sheetId="2"/>
      <sheetData sheetId="3">
        <row r="2">
          <cell r="A2" t="str">
            <v>产品设计教研</v>
          </cell>
          <cell r="B2">
            <v>19</v>
          </cell>
        </row>
        <row r="3">
          <cell r="A3" t="str">
            <v>研发</v>
          </cell>
          <cell r="B3">
            <v>55</v>
          </cell>
        </row>
        <row r="4">
          <cell r="A4" t="str">
            <v>供应链</v>
          </cell>
          <cell r="B4">
            <v>8</v>
          </cell>
        </row>
        <row r="5">
          <cell r="A5" t="str">
            <v>市场</v>
          </cell>
          <cell r="B5">
            <v>15</v>
          </cell>
        </row>
        <row r="6">
          <cell r="A6" t="str">
            <v>销售</v>
          </cell>
          <cell r="B6">
            <v>150</v>
          </cell>
        </row>
        <row r="7">
          <cell r="A7" t="str">
            <v>售后</v>
          </cell>
          <cell r="B7">
            <v>29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F718-309A-0F4F-8087-1EA3E7DD234F}">
  <dimension ref="A1:S71"/>
  <sheetViews>
    <sheetView zoomScale="118" workbookViewId="0">
      <pane xSplit="1" ySplit="1" topLeftCell="B22" activePane="bottomRight" state="frozen"/>
      <selection pane="topRight" activeCell="B1" sqref="B1"/>
      <selection pane="bottomLeft" activeCell="A2" sqref="A2"/>
      <selection pane="bottomRight" activeCell="D34" sqref="D34"/>
    </sheetView>
  </sheetViews>
  <sheetFormatPr baseColWidth="10" defaultRowHeight="18" customHeight="1"/>
  <cols>
    <col min="1" max="1" width="16.6640625" style="4" customWidth="1"/>
    <col min="2" max="5" width="10.83203125" style="4"/>
    <col min="6" max="6" width="12.1640625" style="4" customWidth="1"/>
    <col min="7" max="16384" width="10.83203125" style="4"/>
  </cols>
  <sheetData>
    <row r="1" spans="1:19" s="2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8" customHeight="1">
      <c r="A2" s="1" t="s">
        <v>19</v>
      </c>
      <c r="B2" s="3">
        <v>2972.6399386899975</v>
      </c>
      <c r="C2" s="3">
        <v>5701.3043933399995</v>
      </c>
      <c r="D2" s="3">
        <v>9851.2248712799992</v>
      </c>
      <c r="E2" s="3">
        <v>3961.618339629561</v>
      </c>
      <c r="F2" s="3">
        <v>8576.3728461004339</v>
      </c>
      <c r="G2" s="3">
        <v>4647.3589208425165</v>
      </c>
      <c r="H2" s="3">
        <v>10529.281291634476</v>
      </c>
      <c r="I2" s="3">
        <v>7183.651593999999</v>
      </c>
      <c r="J2" s="3">
        <v>15380.727302999998</v>
      </c>
      <c r="K2" s="3">
        <v>10074.535398000002</v>
      </c>
      <c r="L2" s="3">
        <v>9978.7566100000004</v>
      </c>
      <c r="M2" s="3">
        <v>5714.8902649999991</v>
      </c>
      <c r="N2" s="3">
        <v>6483.3013128500006</v>
      </c>
      <c r="O2" s="3">
        <v>5334.6061407100005</v>
      </c>
      <c r="P2" s="3">
        <v>7901.3333219999977</v>
      </c>
      <c r="Q2" s="3">
        <v>4138.6688652900002</v>
      </c>
      <c r="R2" s="3">
        <v>3438.6129320000005</v>
      </c>
      <c r="S2" s="3">
        <v>5333.4366019999998</v>
      </c>
    </row>
    <row r="3" spans="1:19" ht="18" customHeight="1">
      <c r="A3" s="1" t="s">
        <v>20</v>
      </c>
      <c r="B3" s="3">
        <v>2630.6548129999978</v>
      </c>
      <c r="C3" s="3">
        <v>5045.402118</v>
      </c>
      <c r="D3" s="3">
        <v>8717.8981161769916</v>
      </c>
      <c r="E3" s="3">
        <v>3505.8569377252757</v>
      </c>
      <c r="F3" s="3">
        <v>7589.7104832747218</v>
      </c>
      <c r="G3" s="3">
        <v>4112.7070095951476</v>
      </c>
      <c r="H3" s="3">
        <v>9317.9480456942292</v>
      </c>
      <c r="I3" s="3">
        <v>6357.2138000000014</v>
      </c>
      <c r="J3" s="3">
        <v>13611.2631</v>
      </c>
      <c r="K3" s="3">
        <v>8973.2507000000005</v>
      </c>
      <c r="L3" s="3">
        <v>8902.2893000000022</v>
      </c>
      <c r="M3" s="3">
        <v>5085.8255000000008</v>
      </c>
      <c r="N3" s="3">
        <v>5848.3578579999994</v>
      </c>
      <c r="O3" s="3">
        <v>4788.2206830000023</v>
      </c>
      <c r="P3" s="3">
        <v>7051.2817999999988</v>
      </c>
      <c r="Q3" s="3">
        <v>3693.6702330000007</v>
      </c>
      <c r="R3" s="3">
        <v>3070.2874999999999</v>
      </c>
      <c r="S3" s="3">
        <v>4761.7948999999999</v>
      </c>
    </row>
    <row r="4" spans="1:19" ht="18" customHeight="1">
      <c r="A4" s="1" t="s">
        <v>21</v>
      </c>
      <c r="B4" s="3">
        <v>629.02366447949964</v>
      </c>
      <c r="C4" s="3">
        <v>617.75781746199971</v>
      </c>
      <c r="D4" s="3">
        <v>553.16258841928277</v>
      </c>
      <c r="E4" s="3">
        <v>696.55610862251331</v>
      </c>
      <c r="F4" s="3">
        <v>611.92861560920051</v>
      </c>
      <c r="G4" s="3">
        <v>520.2434010107005</v>
      </c>
      <c r="H4" s="3">
        <v>433.19089900000006</v>
      </c>
      <c r="I4" s="3">
        <v>621.97038900000041</v>
      </c>
      <c r="J4" s="3">
        <v>484.4377430000003</v>
      </c>
      <c r="K4" s="3">
        <v>403.9232610000002</v>
      </c>
      <c r="L4" s="3">
        <v>660.86074000000042</v>
      </c>
      <c r="M4" s="3">
        <v>528.90470960000027</v>
      </c>
      <c r="N4" s="3">
        <v>386.74333000000007</v>
      </c>
      <c r="O4" s="3">
        <v>481.49878100000001</v>
      </c>
      <c r="P4" s="3">
        <v>369.92937099999989</v>
      </c>
      <c r="Q4" s="3">
        <v>335.84888460509995</v>
      </c>
      <c r="R4" s="3">
        <v>350.83373200000011</v>
      </c>
      <c r="S4" s="3">
        <v>448.68840400000039</v>
      </c>
    </row>
    <row r="5" spans="1:19" ht="18" customHeight="1">
      <c r="A5" s="1" t="s">
        <v>22</v>
      </c>
      <c r="B5" s="3">
        <v>101.2098878717382</v>
      </c>
      <c r="C5" s="3">
        <v>144.09569399999998</v>
      </c>
      <c r="D5" s="3">
        <v>128.66530900000001</v>
      </c>
      <c r="E5" s="3">
        <v>85.850140999999994</v>
      </c>
      <c r="F5" s="3">
        <v>92.353747999999996</v>
      </c>
      <c r="G5" s="3">
        <v>66.933353999999994</v>
      </c>
      <c r="H5" s="3">
        <v>68.181443000000002</v>
      </c>
      <c r="I5" s="3">
        <v>69.708387999999999</v>
      </c>
      <c r="J5" s="3">
        <v>-156.020681</v>
      </c>
      <c r="K5" s="3">
        <v>50.298918999999998</v>
      </c>
      <c r="L5" s="3">
        <v>46.965768000000004</v>
      </c>
      <c r="M5" s="3">
        <v>57.802109000000002</v>
      </c>
      <c r="N5" s="3">
        <v>27.690623000000002</v>
      </c>
      <c r="O5" s="3">
        <v>59.607800000000005</v>
      </c>
      <c r="P5" s="3">
        <v>49.983087999999995</v>
      </c>
      <c r="Q5" s="3">
        <v>46.393831000000006</v>
      </c>
      <c r="R5" s="3">
        <v>49.267467999999994</v>
      </c>
      <c r="S5" s="3">
        <v>68.072501000000003</v>
      </c>
    </row>
    <row r="6" spans="1:19" ht="18" customHeight="1">
      <c r="A6" s="1" t="s">
        <v>27</v>
      </c>
      <c r="B6" s="3">
        <v>111.642929612</v>
      </c>
      <c r="C6" s="3">
        <v>123.07429123599998</v>
      </c>
      <c r="D6" s="3">
        <v>133.460907636</v>
      </c>
      <c r="E6" s="3">
        <v>113.654662</v>
      </c>
      <c r="F6" s="3">
        <v>143.73119799999998</v>
      </c>
      <c r="G6" s="3">
        <v>95.137585000000001</v>
      </c>
      <c r="H6" s="3">
        <v>104.01806399999994</v>
      </c>
      <c r="I6" s="3">
        <v>92.48934600000004</v>
      </c>
      <c r="J6" s="3">
        <v>93.376124999999931</v>
      </c>
      <c r="K6" s="3">
        <v>103.08354899999998</v>
      </c>
      <c r="L6" s="3">
        <v>93.577280999999942</v>
      </c>
      <c r="M6" s="3">
        <v>87.767760999999936</v>
      </c>
      <c r="N6" s="3">
        <v>100.63573905760006</v>
      </c>
      <c r="O6" s="3">
        <v>94.461532447999872</v>
      </c>
      <c r="P6" s="3">
        <v>87.400330757999996</v>
      </c>
      <c r="Q6" s="3">
        <v>90.294312520799991</v>
      </c>
      <c r="R6" s="3">
        <v>84.135607000000022</v>
      </c>
      <c r="S6" s="3">
        <v>90.011896000000007</v>
      </c>
    </row>
    <row r="7" spans="1:19" ht="18" customHeight="1">
      <c r="A7" s="1" t="s">
        <v>24</v>
      </c>
      <c r="B7" s="3">
        <v>725.69924615000014</v>
      </c>
      <c r="C7" s="3">
        <v>840.96671385890011</v>
      </c>
      <c r="D7" s="3">
        <v>595.51308634660029</v>
      </c>
      <c r="E7" s="3">
        <v>901.64494252119982</v>
      </c>
      <c r="F7" s="3">
        <v>606.51622561739998</v>
      </c>
      <c r="G7" s="3">
        <v>543.96407718846149</v>
      </c>
      <c r="H7" s="3">
        <v>520.4754317214996</v>
      </c>
      <c r="I7" s="3">
        <v>552.74728064699968</v>
      </c>
      <c r="J7" s="3">
        <v>491.99465599999985</v>
      </c>
      <c r="K7" s="3">
        <v>522.47444961819963</v>
      </c>
      <c r="L7" s="3">
        <v>465.69773466333311</v>
      </c>
      <c r="M7" s="3">
        <v>303.08708648166657</v>
      </c>
      <c r="N7" s="3">
        <v>486.20317371799979</v>
      </c>
      <c r="O7" s="3">
        <v>562.02671624829964</v>
      </c>
      <c r="P7" s="3">
        <v>534.23276707510001</v>
      </c>
      <c r="Q7" s="3">
        <v>493.99259235739999</v>
      </c>
      <c r="R7" s="3">
        <v>512.87572098140004</v>
      </c>
      <c r="S7" s="3">
        <v>531.31134251700007</v>
      </c>
    </row>
    <row r="8" spans="1:19" ht="18" customHeight="1">
      <c r="A8" s="1" t="s">
        <v>25</v>
      </c>
      <c r="B8" s="3">
        <v>270.28454153134294</v>
      </c>
      <c r="C8" s="3">
        <v>223.73582462000002</v>
      </c>
      <c r="D8" s="3">
        <v>121.92372775000001</v>
      </c>
      <c r="E8" s="3">
        <v>101.18009171680497</v>
      </c>
      <c r="F8" s="3">
        <v>102.39646545437169</v>
      </c>
      <c r="G8" s="3">
        <v>101.0812633731958</v>
      </c>
      <c r="H8" s="3">
        <v>108.79357296609602</v>
      </c>
      <c r="I8" s="3">
        <v>115.34843535955662</v>
      </c>
      <c r="J8" s="3">
        <v>118.99110192060633</v>
      </c>
      <c r="K8" s="3">
        <v>100.86060270262843</v>
      </c>
      <c r="L8" s="3">
        <v>81.317419868046613</v>
      </c>
      <c r="M8" s="3">
        <v>96.575406153413923</v>
      </c>
      <c r="N8" s="3">
        <v>149.28588593745218</v>
      </c>
      <c r="O8" s="3">
        <v>149.17284161859118</v>
      </c>
      <c r="P8" s="3">
        <v>154.92738249191498</v>
      </c>
      <c r="Q8" s="3">
        <v>154.90900122161702</v>
      </c>
      <c r="R8" s="3">
        <v>154.24038144059904</v>
      </c>
      <c r="S8" s="3">
        <v>153.59695104069556</v>
      </c>
    </row>
    <row r="9" spans="1:19" ht="18" customHeight="1">
      <c r="A9" s="1" t="s">
        <v>43</v>
      </c>
      <c r="B9" s="3">
        <f>SUM(B4:B8)</f>
        <v>1837.860269644581</v>
      </c>
      <c r="C9" s="3">
        <f t="shared" ref="C9:S9" si="0">SUM(C4:C8)</f>
        <v>1949.6303411768999</v>
      </c>
      <c r="D9" s="3">
        <f t="shared" si="0"/>
        <v>1532.7256191518832</v>
      </c>
      <c r="E9" s="3">
        <f t="shared" si="0"/>
        <v>1898.8859458605182</v>
      </c>
      <c r="F9" s="3">
        <f t="shared" si="0"/>
        <v>1556.9262526809723</v>
      </c>
      <c r="G9" s="3">
        <f t="shared" si="0"/>
        <v>1327.3596805723578</v>
      </c>
      <c r="H9" s="3">
        <f t="shared" si="0"/>
        <v>1234.6594106875957</v>
      </c>
      <c r="I9" s="3">
        <f t="shared" si="0"/>
        <v>1452.2638390065567</v>
      </c>
      <c r="J9" s="3">
        <f t="shared" si="0"/>
        <v>1032.7789449206064</v>
      </c>
      <c r="K9" s="3">
        <f t="shared" si="0"/>
        <v>1180.6407813208284</v>
      </c>
      <c r="L9" s="3">
        <f t="shared" si="0"/>
        <v>1348.4189435313801</v>
      </c>
      <c r="M9" s="3">
        <f t="shared" si="0"/>
        <v>1074.1370722350807</v>
      </c>
      <c r="N9" s="3">
        <f t="shared" si="0"/>
        <v>1150.5587517130521</v>
      </c>
      <c r="O9" s="3">
        <f t="shared" si="0"/>
        <v>1346.7676713148908</v>
      </c>
      <c r="P9" s="3">
        <f t="shared" si="0"/>
        <v>1196.472939325015</v>
      </c>
      <c r="Q9" s="3">
        <f t="shared" si="0"/>
        <v>1121.4386217049168</v>
      </c>
      <c r="R9" s="3">
        <f t="shared" si="0"/>
        <v>1151.3529094219991</v>
      </c>
      <c r="S9" s="3">
        <f t="shared" si="0"/>
        <v>1291.681094557696</v>
      </c>
    </row>
    <row r="10" spans="1:19" ht="18" customHeight="1">
      <c r="A10" s="1" t="s">
        <v>28</v>
      </c>
      <c r="B10" s="3">
        <v>384</v>
      </c>
      <c r="C10" s="3">
        <v>363</v>
      </c>
      <c r="D10" s="3">
        <v>402</v>
      </c>
      <c r="E10" s="3">
        <v>285</v>
      </c>
      <c r="F10" s="3">
        <v>269</v>
      </c>
      <c r="G10" s="3">
        <v>262</v>
      </c>
      <c r="H10" s="3">
        <v>265</v>
      </c>
      <c r="I10" s="3">
        <v>271</v>
      </c>
      <c r="J10" s="3">
        <v>281</v>
      </c>
      <c r="K10" s="3">
        <v>277</v>
      </c>
      <c r="L10" s="3">
        <v>257</v>
      </c>
      <c r="M10" s="3">
        <v>270</v>
      </c>
      <c r="N10" s="3">
        <v>270</v>
      </c>
      <c r="O10" s="3">
        <v>272</v>
      </c>
      <c r="P10" s="3">
        <v>275</v>
      </c>
      <c r="Q10" s="3">
        <v>265</v>
      </c>
      <c r="R10" s="3">
        <v>268</v>
      </c>
      <c r="S10" s="3">
        <v>278</v>
      </c>
    </row>
    <row r="11" spans="1:19" ht="18" customHeight="1">
      <c r="A11" s="1" t="s">
        <v>29</v>
      </c>
      <c r="B11" s="3">
        <v>6.8506635755208274</v>
      </c>
      <c r="C11" s="3">
        <v>13.899179388429753</v>
      </c>
      <c r="D11" s="3">
        <v>21.686313721833312</v>
      </c>
      <c r="E11" s="3">
        <v>12.301252413071143</v>
      </c>
      <c r="F11" s="3">
        <v>28.214537112545433</v>
      </c>
      <c r="G11" s="3">
        <v>15.697354998454761</v>
      </c>
      <c r="H11" s="3">
        <v>35.162068096959352</v>
      </c>
      <c r="I11" s="3">
        <v>23.458353505535062</v>
      </c>
      <c r="J11" s="3">
        <v>48.438658718861213</v>
      </c>
      <c r="K11" s="3">
        <v>32.39440685920578</v>
      </c>
      <c r="L11" s="3">
        <v>34.639257976653703</v>
      </c>
      <c r="M11" s="3">
        <v>18.836390740740743</v>
      </c>
      <c r="N11" s="3">
        <v>21.660584659259257</v>
      </c>
      <c r="O11" s="3">
        <v>17.60375251102942</v>
      </c>
      <c r="P11" s="3">
        <v>25.641024727272722</v>
      </c>
      <c r="Q11" s="3">
        <v>13.938378237735852</v>
      </c>
      <c r="R11" s="3">
        <v>11.456296641791045</v>
      </c>
      <c r="S11" s="3">
        <v>17.128758633093526</v>
      </c>
    </row>
    <row r="12" spans="1:19" ht="18" customHeight="1">
      <c r="A12" s="2"/>
      <c r="B12" s="17"/>
      <c r="C12" s="17"/>
      <c r="D12" s="17"/>
      <c r="E12" s="17"/>
      <c r="F12" s="17"/>
      <c r="G12" s="1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4" spans="1:19" ht="18" customHeight="1">
      <c r="C14" s="14"/>
      <c r="R14" s="4">
        <f>(B9-S9)/B9</f>
        <v>0.29718210035222598</v>
      </c>
    </row>
    <row r="15" spans="1:19" ht="18" customHeight="1">
      <c r="A15" s="59" t="s">
        <v>42</v>
      </c>
      <c r="B15" s="59"/>
      <c r="C15" s="59"/>
      <c r="D15" s="59"/>
      <c r="E15" s="59"/>
      <c r="F15" s="59"/>
      <c r="G15" s="59"/>
    </row>
    <row r="16" spans="1:19" ht="18" customHeight="1">
      <c r="A16" s="1"/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18</v>
      </c>
    </row>
    <row r="17" spans="1:19" ht="18" customHeight="1">
      <c r="A17" s="5" t="s">
        <v>30</v>
      </c>
      <c r="B17" s="6">
        <f t="shared" ref="B17:G22" si="1">(N3-B3)/B3</f>
        <v>1.2231566943328966</v>
      </c>
      <c r="C17" s="6">
        <f t="shared" si="1"/>
        <v>-5.0973426693280997E-2</v>
      </c>
      <c r="D17" s="6">
        <f t="shared" si="1"/>
        <v>-0.19117180471338707</v>
      </c>
      <c r="E17" s="6">
        <f t="shared" si="1"/>
        <v>5.3571294725045168E-2</v>
      </c>
      <c r="F17" s="6">
        <f t="shared" si="1"/>
        <v>-0.59546711211634162</v>
      </c>
      <c r="G17" s="6">
        <f t="shared" si="1"/>
        <v>0.15782497729366529</v>
      </c>
    </row>
    <row r="18" spans="1:19" ht="18" customHeight="1">
      <c r="A18" s="5" t="s">
        <v>31</v>
      </c>
      <c r="B18" s="6">
        <f t="shared" si="1"/>
        <v>-0.3851688706814872</v>
      </c>
      <c r="C18" s="6">
        <f t="shared" si="1"/>
        <v>-0.22057031511443631</v>
      </c>
      <c r="D18" s="6">
        <f t="shared" si="1"/>
        <v>-0.33124658329278933</v>
      </c>
      <c r="E18" s="6">
        <f t="shared" si="1"/>
        <v>-0.51784374518046539</v>
      </c>
      <c r="F18" s="6">
        <f t="shared" si="1"/>
        <v>-0.4266753947260164</v>
      </c>
      <c r="G18" s="6">
        <f t="shared" si="1"/>
        <v>-0.13754138326730711</v>
      </c>
    </row>
    <row r="19" spans="1:19" ht="18" customHeight="1">
      <c r="A19" s="5" t="s">
        <v>32</v>
      </c>
      <c r="B19" s="6">
        <f t="shared" si="1"/>
        <v>-0.72640397512255006</v>
      </c>
      <c r="C19" s="6">
        <f t="shared" si="1"/>
        <v>-0.58633184417016648</v>
      </c>
      <c r="D19" s="6">
        <f t="shared" si="1"/>
        <v>-0.61152630504311001</v>
      </c>
      <c r="E19" s="6">
        <f t="shared" si="1"/>
        <v>-0.45959516828283359</v>
      </c>
      <c r="F19" s="6">
        <f t="shared" si="1"/>
        <v>-0.46653526178493593</v>
      </c>
      <c r="G19" s="6">
        <f t="shared" si="1"/>
        <v>1.7019123231147334E-2</v>
      </c>
    </row>
    <row r="20" spans="1:19" ht="18" customHeight="1">
      <c r="A20" s="5" t="s">
        <v>23</v>
      </c>
      <c r="B20" s="6">
        <f t="shared" si="1"/>
        <v>-9.8592813648423164E-2</v>
      </c>
      <c r="C20" s="6">
        <f t="shared" si="1"/>
        <v>-0.23248363651458268</v>
      </c>
      <c r="D20" s="6">
        <f t="shared" si="1"/>
        <v>-0.34512410932814258</v>
      </c>
      <c r="E20" s="6">
        <f t="shared" si="1"/>
        <v>-0.20553797854064279</v>
      </c>
      <c r="F20" s="6">
        <f t="shared" si="1"/>
        <v>-0.41463225680481675</v>
      </c>
      <c r="G20" s="6">
        <f t="shared" si="1"/>
        <v>-5.3876593567095427E-2</v>
      </c>
    </row>
    <row r="21" spans="1:19" ht="18" customHeight="1">
      <c r="A21" s="5" t="s">
        <v>33</v>
      </c>
      <c r="B21" s="6">
        <f t="shared" si="1"/>
        <v>-0.330021112330737</v>
      </c>
      <c r="C21" s="6">
        <f t="shared" si="1"/>
        <v>-0.33168970069058151</v>
      </c>
      <c r="D21" s="6">
        <f t="shared" si="1"/>
        <v>-0.10290339654405836</v>
      </c>
      <c r="E21" s="6">
        <f t="shared" si="1"/>
        <v>-0.45212070842865615</v>
      </c>
      <c r="F21" s="6">
        <f t="shared" si="1"/>
        <v>-0.15439076595301154</v>
      </c>
      <c r="G21" s="6">
        <f t="shared" si="1"/>
        <v>-2.3260239420328042E-2</v>
      </c>
    </row>
    <row r="22" spans="1:19" ht="18" customHeight="1">
      <c r="A22" s="5" t="s">
        <v>34</v>
      </c>
      <c r="B22" s="6">
        <f t="shared" si="1"/>
        <v>-0.44767138700701248</v>
      </c>
      <c r="C22" s="6">
        <f t="shared" si="1"/>
        <v>-0.33326349558926899</v>
      </c>
      <c r="D22" s="6">
        <f t="shared" si="1"/>
        <v>0.2706909914170908</v>
      </c>
      <c r="E22" s="9">
        <f t="shared" si="1"/>
        <v>0.53102254201542931</v>
      </c>
      <c r="F22" s="9">
        <f t="shared" si="1"/>
        <v>0.50630571823135062</v>
      </c>
      <c r="G22" s="9">
        <f t="shared" si="1"/>
        <v>0.51953928863759724</v>
      </c>
      <c r="H22" s="4" t="s">
        <v>117</v>
      </c>
    </row>
    <row r="23" spans="1:19" ht="18" customHeight="1">
      <c r="A23" s="5" t="s">
        <v>35</v>
      </c>
      <c r="B23" s="6">
        <f t="shared" ref="B23:G23" si="2">(N10-B10)/B10</f>
        <v>-0.296875</v>
      </c>
      <c r="C23" s="6">
        <f t="shared" si="2"/>
        <v>-0.25068870523415976</v>
      </c>
      <c r="D23" s="6">
        <f t="shared" si="2"/>
        <v>-0.31592039800995025</v>
      </c>
      <c r="E23" s="6">
        <f t="shared" si="2"/>
        <v>-7.0175438596491224E-2</v>
      </c>
      <c r="F23" s="6">
        <f t="shared" si="2"/>
        <v>-3.7174721189591076E-3</v>
      </c>
      <c r="G23" s="6">
        <f t="shared" si="2"/>
        <v>6.1068702290076333E-2</v>
      </c>
    </row>
    <row r="24" spans="1:19" ht="18" customHeight="1">
      <c r="A24" s="5" t="s">
        <v>26</v>
      </c>
      <c r="B24" s="6">
        <f t="shared" ref="B24:G24" si="3">(N11-B11)/B11</f>
        <v>2.1618228541623421</v>
      </c>
      <c r="C24" s="6">
        <f t="shared" si="3"/>
        <v>0.26653178717036385</v>
      </c>
      <c r="D24" s="6">
        <f t="shared" si="3"/>
        <v>0.18235976183715782</v>
      </c>
      <c r="E24" s="6">
        <f t="shared" si="3"/>
        <v>0.133086109421275</v>
      </c>
      <c r="F24" s="6">
        <f t="shared" si="3"/>
        <v>-0.59395766104214875</v>
      </c>
      <c r="G24" s="6">
        <f t="shared" si="3"/>
        <v>9.1187568528562343E-2</v>
      </c>
    </row>
    <row r="26" spans="1:19" ht="18" customHeight="1">
      <c r="A26" s="8" t="s">
        <v>36</v>
      </c>
      <c r="B26" s="7" t="s">
        <v>1</v>
      </c>
      <c r="C26" s="7" t="s">
        <v>2</v>
      </c>
      <c r="D26" s="7" t="s">
        <v>3</v>
      </c>
      <c r="E26" s="7" t="s">
        <v>4</v>
      </c>
      <c r="F26" s="7" t="s">
        <v>5</v>
      </c>
      <c r="G26" s="7" t="s">
        <v>6</v>
      </c>
      <c r="H26" s="7" t="s">
        <v>7</v>
      </c>
      <c r="I26" s="7" t="s">
        <v>8</v>
      </c>
      <c r="J26" s="7" t="s">
        <v>9</v>
      </c>
      <c r="K26" s="7" t="s">
        <v>10</v>
      </c>
      <c r="L26" s="7" t="s">
        <v>11</v>
      </c>
      <c r="M26" s="7" t="s">
        <v>12</v>
      </c>
      <c r="N26" s="7" t="s">
        <v>13</v>
      </c>
      <c r="O26" s="7" t="s">
        <v>14</v>
      </c>
      <c r="P26" s="7" t="s">
        <v>15</v>
      </c>
      <c r="Q26" s="7" t="s">
        <v>16</v>
      </c>
      <c r="R26" s="7" t="s">
        <v>17</v>
      </c>
      <c r="S26" s="7" t="s">
        <v>18</v>
      </c>
    </row>
    <row r="27" spans="1:19" ht="18" customHeight="1">
      <c r="A27" s="8" t="s">
        <v>37</v>
      </c>
      <c r="B27" s="8">
        <f t="shared" ref="B27:C31" si="4">B4/B$3</f>
        <v>0.23911296205455451</v>
      </c>
      <c r="C27" s="8">
        <f t="shared" si="4"/>
        <v>0.12243975861866076</v>
      </c>
      <c r="D27" s="8">
        <f t="shared" ref="D27:S27" si="5">D4/D$3</f>
        <v>6.3451371081388347E-2</v>
      </c>
      <c r="E27" s="8">
        <f t="shared" si="5"/>
        <v>0.19868355183781788</v>
      </c>
      <c r="F27" s="8">
        <f t="shared" si="5"/>
        <v>8.0626081450365483E-2</v>
      </c>
      <c r="G27" s="8">
        <f t="shared" si="5"/>
        <v>0.12649658723486673</v>
      </c>
      <c r="H27" s="8">
        <f t="shared" si="5"/>
        <v>4.6489945734369612E-2</v>
      </c>
      <c r="I27" s="8">
        <f t="shared" si="5"/>
        <v>9.78369469027454E-2</v>
      </c>
      <c r="J27" s="8">
        <f t="shared" si="5"/>
        <v>3.5590946956274787E-2</v>
      </c>
      <c r="K27" s="8">
        <f t="shared" si="5"/>
        <v>4.5014150891827885E-2</v>
      </c>
      <c r="L27" s="8">
        <f t="shared" si="5"/>
        <v>7.4234920673719312E-2</v>
      </c>
      <c r="M27" s="8">
        <f t="shared" si="5"/>
        <v>0.10399584287742475</v>
      </c>
      <c r="N27" s="8">
        <f>N4/N$3</f>
        <v>6.61285337508839E-2</v>
      </c>
      <c r="O27" s="8">
        <f t="shared" si="5"/>
        <v>0.10055902032867932</v>
      </c>
      <c r="P27" s="8">
        <f t="shared" si="5"/>
        <v>5.2462712665943934E-2</v>
      </c>
      <c r="Q27" s="8">
        <f t="shared" si="5"/>
        <v>9.0925519447989087E-2</v>
      </c>
      <c r="R27" s="8">
        <f t="shared" si="5"/>
        <v>0.11426738766320747</v>
      </c>
      <c r="S27" s="8">
        <f t="shared" si="5"/>
        <v>9.4226738745089675E-2</v>
      </c>
    </row>
    <row r="28" spans="1:19" ht="18" customHeight="1">
      <c r="A28" s="8" t="s">
        <v>38</v>
      </c>
      <c r="B28" s="8">
        <f t="shared" si="4"/>
        <v>3.8473268089597237E-2</v>
      </c>
      <c r="C28" s="8">
        <f t="shared" si="4"/>
        <v>2.8559803684610887E-2</v>
      </c>
      <c r="D28" s="8">
        <f t="shared" ref="D28:M28" si="6">D5/D$3</f>
        <v>1.4758753461599623E-2</v>
      </c>
      <c r="E28" s="8">
        <f t="shared" si="6"/>
        <v>2.4487633843867745E-2</v>
      </c>
      <c r="F28" s="8">
        <f t="shared" si="6"/>
        <v>1.2168283388874703E-2</v>
      </c>
      <c r="G28" s="8">
        <f t="shared" si="6"/>
        <v>1.6274768380981477E-2</v>
      </c>
      <c r="H28" s="8">
        <f t="shared" si="6"/>
        <v>7.3172164800281601E-3</v>
      </c>
      <c r="I28" s="8">
        <f t="shared" si="6"/>
        <v>1.0965242037321441E-2</v>
      </c>
      <c r="J28" s="8">
        <f t="shared" si="6"/>
        <v>-1.1462615912552597E-2</v>
      </c>
      <c r="K28" s="8">
        <f t="shared" si="6"/>
        <v>5.6054289222076453E-3</v>
      </c>
      <c r="L28" s="8">
        <f t="shared" si="6"/>
        <v>5.2756955449650457E-3</v>
      </c>
      <c r="M28" s="8">
        <f t="shared" si="6"/>
        <v>1.1365334693453402E-2</v>
      </c>
      <c r="N28" s="8">
        <f>N5/N$3</f>
        <v>4.7347689167347813E-3</v>
      </c>
      <c r="O28" s="8">
        <f t="shared" ref="O28:S30" si="7">O5/O$3</f>
        <v>1.2448841426968954E-2</v>
      </c>
      <c r="P28" s="8">
        <f t="shared" si="7"/>
        <v>7.0885109144269345E-3</v>
      </c>
      <c r="Q28" s="8">
        <f t="shared" si="7"/>
        <v>1.2560360853415687E-2</v>
      </c>
      <c r="R28" s="8">
        <f t="shared" si="7"/>
        <v>1.6046532450136996E-2</v>
      </c>
      <c r="S28" s="8">
        <f t="shared" si="7"/>
        <v>1.429555502274993E-2</v>
      </c>
    </row>
    <row r="29" spans="1:19" ht="18" customHeight="1">
      <c r="A29" s="8" t="s">
        <v>39</v>
      </c>
      <c r="B29" s="8">
        <f t="shared" si="4"/>
        <v>4.2439216677266162E-2</v>
      </c>
      <c r="C29" s="8">
        <f t="shared" si="4"/>
        <v>2.4393356239519458E-2</v>
      </c>
      <c r="D29" s="8">
        <f t="shared" ref="D29:M29" si="8">D6/D$3</f>
        <v>1.53088400274315E-2</v>
      </c>
      <c r="E29" s="8">
        <f t="shared" si="8"/>
        <v>3.2418511085550224E-2</v>
      </c>
      <c r="F29" s="8">
        <f t="shared" si="8"/>
        <v>1.8937639099243279E-2</v>
      </c>
      <c r="G29" s="8">
        <f t="shared" si="8"/>
        <v>2.3132594852499664E-2</v>
      </c>
      <c r="H29" s="8">
        <f t="shared" si="8"/>
        <v>1.1163194245117743E-2</v>
      </c>
      <c r="I29" s="8">
        <f t="shared" si="8"/>
        <v>1.4548723530424605E-2</v>
      </c>
      <c r="J29" s="8">
        <f t="shared" si="8"/>
        <v>6.8602101299474498E-3</v>
      </c>
      <c r="K29" s="8">
        <f t="shared" si="8"/>
        <v>1.1487871279468428E-2</v>
      </c>
      <c r="L29" s="8">
        <f t="shared" si="8"/>
        <v>1.0511597393268259E-2</v>
      </c>
      <c r="M29" s="8">
        <f t="shared" si="8"/>
        <v>1.7257328431736385E-2</v>
      </c>
      <c r="N29" s="8">
        <f>N6/N$3</f>
        <v>1.7207520726512982E-2</v>
      </c>
      <c r="O29" s="8">
        <f t="shared" si="7"/>
        <v>1.9727898670872483E-2</v>
      </c>
      <c r="P29" s="8">
        <f t="shared" si="7"/>
        <v>1.2394956440118449E-2</v>
      </c>
      <c r="Q29" s="8">
        <f t="shared" si="7"/>
        <v>2.4445688657880785E-2</v>
      </c>
      <c r="R29" s="8">
        <f t="shared" si="7"/>
        <v>2.740316892147723E-2</v>
      </c>
      <c r="S29" s="8">
        <f t="shared" si="7"/>
        <v>1.8902934269596536E-2</v>
      </c>
    </row>
    <row r="30" spans="1:19" ht="18" customHeight="1">
      <c r="A30" s="8" t="s">
        <v>40</v>
      </c>
      <c r="B30" s="8">
        <f t="shared" si="4"/>
        <v>0.27586258849461626</v>
      </c>
      <c r="C30" s="8">
        <f t="shared" si="4"/>
        <v>0.16667981940600202</v>
      </c>
      <c r="D30" s="8">
        <f t="shared" ref="D30:M30" si="9">D7/D$3</f>
        <v>6.8309250510918698E-2</v>
      </c>
      <c r="E30" s="8">
        <f t="shared" si="9"/>
        <v>0.2571824688049647</v>
      </c>
      <c r="F30" s="8">
        <f t="shared" si="9"/>
        <v>7.9912959388103999E-2</v>
      </c>
      <c r="G30" s="8">
        <f t="shared" si="9"/>
        <v>0.1322642424853914</v>
      </c>
      <c r="H30" s="8">
        <f t="shared" si="9"/>
        <v>5.5857301325264237E-2</v>
      </c>
      <c r="I30" s="8">
        <f t="shared" si="9"/>
        <v>8.6948040137803703E-2</v>
      </c>
      <c r="J30" s="8">
        <f t="shared" si="9"/>
        <v>3.6146142528094977E-2</v>
      </c>
      <c r="K30" s="8">
        <f t="shared" si="9"/>
        <v>5.8225772029104193E-2</v>
      </c>
      <c r="L30" s="8">
        <f t="shared" si="9"/>
        <v>5.2312132190911048E-2</v>
      </c>
      <c r="M30" s="8">
        <f t="shared" si="9"/>
        <v>5.9594472221209033E-2</v>
      </c>
      <c r="N30" s="8">
        <f>N7/N$3</f>
        <v>8.3134990286704138E-2</v>
      </c>
      <c r="O30" s="8">
        <f t="shared" si="7"/>
        <v>0.11737694510274087</v>
      </c>
      <c r="P30" s="8">
        <f t="shared" si="7"/>
        <v>7.5763922394237612E-2</v>
      </c>
      <c r="Q30" s="8">
        <f t="shared" si="7"/>
        <v>0.13374030738964451</v>
      </c>
      <c r="R30" s="8">
        <f t="shared" si="7"/>
        <v>0.16704485198255864</v>
      </c>
      <c r="S30" s="8">
        <f t="shared" si="7"/>
        <v>0.11157795614359621</v>
      </c>
    </row>
    <row r="31" spans="1:19" ht="18" customHeight="1">
      <c r="A31" s="8" t="s">
        <v>41</v>
      </c>
      <c r="B31" s="8">
        <f t="shared" si="4"/>
        <v>0.1027442065738418</v>
      </c>
      <c r="C31" s="8">
        <f t="shared" si="4"/>
        <v>4.4344498096950298E-2</v>
      </c>
      <c r="D31" s="8">
        <f t="shared" ref="D31:S31" si="10">D8/D$3</f>
        <v>1.3985449947362599E-2</v>
      </c>
      <c r="E31" s="8">
        <f t="shared" si="10"/>
        <v>2.8860302492107449E-2</v>
      </c>
      <c r="F31" s="8">
        <f t="shared" si="10"/>
        <v>1.3491485041494077E-2</v>
      </c>
      <c r="G31" s="8">
        <f t="shared" si="10"/>
        <v>2.4577793442948463E-2</v>
      </c>
      <c r="H31" s="8">
        <f t="shared" si="10"/>
        <v>1.1675700747909719E-2</v>
      </c>
      <c r="I31" s="8">
        <f t="shared" si="10"/>
        <v>1.8144495212597159E-2</v>
      </c>
      <c r="J31" s="8">
        <f t="shared" si="10"/>
        <v>8.7421057874200025E-3</v>
      </c>
      <c r="K31" s="8">
        <f t="shared" si="10"/>
        <v>1.1240140956122894E-2</v>
      </c>
      <c r="L31" s="8">
        <f t="shared" si="10"/>
        <v>9.1344391456753254E-3</v>
      </c>
      <c r="M31" s="8">
        <f t="shared" si="10"/>
        <v>1.8989130899873367E-2</v>
      </c>
      <c r="N31" s="8">
        <f t="shared" si="10"/>
        <v>2.5526120248138242E-2</v>
      </c>
      <c r="O31" s="8">
        <f t="shared" si="10"/>
        <v>3.1154128327504055E-2</v>
      </c>
      <c r="P31" s="8">
        <f t="shared" si="10"/>
        <v>2.1971520481838494E-2</v>
      </c>
      <c r="Q31" s="8">
        <f t="shared" si="10"/>
        <v>4.1939044757604106E-2</v>
      </c>
      <c r="R31" s="8">
        <f>R8/R$3</f>
        <v>5.0236462038359291E-2</v>
      </c>
      <c r="S31" s="8">
        <f t="shared" si="10"/>
        <v>3.2256103899119128E-2</v>
      </c>
    </row>
    <row r="34" spans="1:8" ht="18" customHeight="1">
      <c r="A34" s="43" t="s">
        <v>90</v>
      </c>
      <c r="B34" s="43" t="s">
        <v>83</v>
      </c>
      <c r="C34" s="43" t="s">
        <v>67</v>
      </c>
      <c r="D34" s="43" t="s">
        <v>62</v>
      </c>
      <c r="E34" s="43" t="s">
        <v>68</v>
      </c>
    </row>
    <row r="35" spans="1:8" ht="18" customHeight="1">
      <c r="A35" s="43" t="s">
        <v>69</v>
      </c>
      <c r="B35" s="44">
        <v>1.2230000000000001</v>
      </c>
      <c r="C35" s="44">
        <v>-0.374</v>
      </c>
      <c r="D35" s="44">
        <v>-0.29699999999999999</v>
      </c>
      <c r="E35" s="44">
        <v>2.1619999999999999</v>
      </c>
    </row>
    <row r="36" spans="1:8" ht="18" customHeight="1">
      <c r="A36" s="43" t="s">
        <v>70</v>
      </c>
      <c r="B36" s="44">
        <v>-5.0999999999999997E-2</v>
      </c>
      <c r="C36" s="44">
        <v>-0.309</v>
      </c>
      <c r="D36" s="44">
        <v>-0.251</v>
      </c>
      <c r="E36" s="44">
        <v>0.26700000000000002</v>
      </c>
    </row>
    <row r="37" spans="1:8" ht="18" customHeight="1">
      <c r="A37" s="43" t="s">
        <v>63</v>
      </c>
      <c r="B37" s="44">
        <v>-0.191</v>
      </c>
      <c r="C37" s="44">
        <v>-0.219</v>
      </c>
      <c r="D37" s="44">
        <v>-0.316</v>
      </c>
      <c r="E37" s="44">
        <v>0.182</v>
      </c>
    </row>
    <row r="38" spans="1:8" ht="18" customHeight="1">
      <c r="A38" s="43" t="s">
        <v>64</v>
      </c>
      <c r="B38" s="44">
        <v>5.3999999999999999E-2</v>
      </c>
      <c r="C38" s="44">
        <v>-0.40899999999999997</v>
      </c>
      <c r="D38" s="44">
        <v>-7.0000000000000007E-2</v>
      </c>
      <c r="E38" s="44">
        <v>0.13300000000000001</v>
      </c>
    </row>
    <row r="39" spans="1:8" ht="18" customHeight="1">
      <c r="A39" s="43" t="s">
        <v>65</v>
      </c>
      <c r="B39" s="44">
        <v>-0.59499999999999997</v>
      </c>
      <c r="C39" s="44">
        <v>-0.26</v>
      </c>
      <c r="D39" s="44">
        <v>-4.0000000000000001E-3</v>
      </c>
      <c r="E39" s="44">
        <v>-0.59399999999999997</v>
      </c>
    </row>
    <row r="40" spans="1:8" ht="18" customHeight="1">
      <c r="A40" s="43" t="s">
        <v>66</v>
      </c>
      <c r="B40" s="44">
        <v>0.158</v>
      </c>
      <c r="C40" s="44">
        <v>-2.7E-2</v>
      </c>
      <c r="D40" s="44">
        <v>6.0999999999999999E-2</v>
      </c>
      <c r="E40" s="44">
        <v>9.0999999999999998E-2</v>
      </c>
    </row>
    <row r="46" spans="1:8" ht="18" customHeight="1">
      <c r="H46" s="4" t="s">
        <v>126</v>
      </c>
    </row>
    <row r="50" spans="1:11" ht="18" customHeight="1">
      <c r="B50" s="11" t="s">
        <v>44</v>
      </c>
      <c r="C50" s="11" t="s">
        <v>45</v>
      </c>
      <c r="D50" s="11" t="s">
        <v>46</v>
      </c>
      <c r="E50" s="11" t="s">
        <v>47</v>
      </c>
      <c r="F50" s="11" t="s">
        <v>48</v>
      </c>
      <c r="G50" s="11" t="s">
        <v>49</v>
      </c>
      <c r="H50" s="11" t="s">
        <v>50</v>
      </c>
      <c r="I50" s="11" t="s">
        <v>51</v>
      </c>
      <c r="J50" s="4" t="s">
        <v>61</v>
      </c>
    </row>
    <row r="51" spans="1:11" ht="18" customHeight="1">
      <c r="A51" s="10" t="s">
        <v>52</v>
      </c>
      <c r="B51" s="12">
        <v>9922.4380624756195</v>
      </c>
      <c r="C51" s="12">
        <v>8324.5401440000005</v>
      </c>
      <c r="D51" s="12">
        <v>322.65744524603934</v>
      </c>
      <c r="E51" s="12">
        <v>303.48300206979997</v>
      </c>
      <c r="F51" s="12">
        <v>30.752236493130848</v>
      </c>
      <c r="G51" s="12">
        <v>27.430004603965884</v>
      </c>
      <c r="H51" s="13">
        <f t="shared" ref="H51:H60" si="11">(G51-F51)/F51</f>
        <v>-0.10803220409374303</v>
      </c>
      <c r="I51" s="13">
        <f t="shared" ref="I51:I60" si="12">(C51-B51)/B51</f>
        <v>-0.1610388402945544</v>
      </c>
      <c r="J51" s="4">
        <v>10</v>
      </c>
    </row>
    <row r="52" spans="1:11" ht="18" customHeight="1">
      <c r="A52" s="10" t="s">
        <v>53</v>
      </c>
      <c r="B52" s="12">
        <v>10553.445164636061</v>
      </c>
      <c r="C52" s="12">
        <v>7298.3493812212391</v>
      </c>
      <c r="D52" s="12">
        <v>225.21002618604894</v>
      </c>
      <c r="E52" s="12">
        <v>258.24198600739987</v>
      </c>
      <c r="F52" s="12">
        <v>46.86045884972156</v>
      </c>
      <c r="G52" s="12">
        <v>28.261668422160085</v>
      </c>
      <c r="H52" s="13">
        <f t="shared" si="11"/>
        <v>-0.39689731778356213</v>
      </c>
      <c r="I52" s="13">
        <f t="shared" si="12"/>
        <v>-0.30843916205889294</v>
      </c>
      <c r="J52" s="4">
        <f>5+5</f>
        <v>10</v>
      </c>
    </row>
    <row r="53" spans="1:11" ht="18" customHeight="1">
      <c r="A53" s="10" t="s">
        <v>54</v>
      </c>
      <c r="B53" s="12">
        <v>1477.4565593892794</v>
      </c>
      <c r="C53" s="12">
        <v>1000.1243469999999</v>
      </c>
      <c r="D53" s="12">
        <v>404.99129103179496</v>
      </c>
      <c r="E53" s="12">
        <v>186.11643906099999</v>
      </c>
      <c r="F53" s="12">
        <v>3.6481193351717964</v>
      </c>
      <c r="G53" s="12">
        <v>5.3736486258057381</v>
      </c>
      <c r="H53" s="13">
        <f t="shared" si="11"/>
        <v>0.47299146001008857</v>
      </c>
      <c r="I53" s="13">
        <f t="shared" si="12"/>
        <v>-0.32307698615963992</v>
      </c>
      <c r="J53" s="4">
        <f>1+5</f>
        <v>6</v>
      </c>
    </row>
    <row r="54" spans="1:11" ht="18" customHeight="1">
      <c r="A54" s="10" t="s">
        <v>55</v>
      </c>
      <c r="B54" s="12">
        <v>4528.0949708166509</v>
      </c>
      <c r="C54" s="12">
        <v>4660.2981909999999</v>
      </c>
      <c r="D54" s="12">
        <v>348.69925801633667</v>
      </c>
      <c r="E54" s="12">
        <v>361.8977315085001</v>
      </c>
      <c r="F54" s="12">
        <v>12.985674235660428</v>
      </c>
      <c r="G54" s="12">
        <v>12.877389895688088</v>
      </c>
      <c r="H54" s="13">
        <f t="shared" si="11"/>
        <v>-8.3387537687474034E-3</v>
      </c>
      <c r="I54" s="13">
        <f t="shared" si="12"/>
        <v>2.9196211880579415E-2</v>
      </c>
      <c r="J54" s="4">
        <f>14+2</f>
        <v>16</v>
      </c>
    </row>
    <row r="55" spans="1:11" ht="18" customHeight="1">
      <c r="A55" s="18" t="s">
        <v>88</v>
      </c>
      <c r="B55" s="12">
        <f>B53+B54</f>
        <v>6005.5515302059302</v>
      </c>
      <c r="C55" s="12">
        <f t="shared" ref="C55:E55" si="13">C53+C54</f>
        <v>5660.4225379999998</v>
      </c>
      <c r="D55" s="12">
        <f t="shared" si="13"/>
        <v>753.69054904813163</v>
      </c>
      <c r="E55" s="12">
        <f t="shared" si="13"/>
        <v>548.01417056950004</v>
      </c>
      <c r="F55" s="12">
        <f>B55/D55</f>
        <v>7.9681926989672363</v>
      </c>
      <c r="G55" s="12">
        <f>C55/E55</f>
        <v>10.328971114228032</v>
      </c>
      <c r="H55" s="13">
        <f t="shared" si="11"/>
        <v>0.2962752664812911</v>
      </c>
      <c r="I55" s="13">
        <f t="shared" si="12"/>
        <v>-5.7468325843187958E-2</v>
      </c>
      <c r="J55" s="4">
        <f>J53+J54</f>
        <v>22</v>
      </c>
    </row>
    <row r="56" spans="1:11" ht="18" customHeight="1">
      <c r="A56" s="10" t="s">
        <v>56</v>
      </c>
      <c r="B56" s="12">
        <v>1801.848750334628</v>
      </c>
      <c r="C56" s="12">
        <v>1197.3012880000001</v>
      </c>
      <c r="D56" s="12">
        <v>301.08287853007312</v>
      </c>
      <c r="E56" s="12">
        <v>125.26614975130001</v>
      </c>
      <c r="F56" s="12">
        <v>5.984560660278972</v>
      </c>
      <c r="G56" s="12">
        <v>9.5580593031484522</v>
      </c>
      <c r="H56" s="13">
        <f t="shared" si="11"/>
        <v>0.59711962928000473</v>
      </c>
      <c r="I56" s="13">
        <f t="shared" si="12"/>
        <v>-0.3355150992681018</v>
      </c>
      <c r="J56" s="4">
        <v>3</v>
      </c>
    </row>
    <row r="57" spans="1:11" ht="18" customHeight="1">
      <c r="A57" s="10" t="s">
        <v>57</v>
      </c>
      <c r="B57" s="12">
        <v>221.55831987120101</v>
      </c>
      <c r="C57" s="12">
        <v>40.181395999999999</v>
      </c>
      <c r="D57" s="12">
        <v>1.7471138672201065</v>
      </c>
      <c r="E57" s="12">
        <v>4.8143588546999991</v>
      </c>
      <c r="F57" s="12">
        <v>126.8138980682067</v>
      </c>
      <c r="G57" s="12">
        <v>8.3461572376917985</v>
      </c>
      <c r="H57" s="13">
        <f t="shared" si="11"/>
        <v>-0.93418578432781219</v>
      </c>
      <c r="I57" s="13">
        <f t="shared" si="12"/>
        <v>-0.8186418996887197</v>
      </c>
      <c r="J57" s="4">
        <v>1</v>
      </c>
    </row>
    <row r="58" spans="1:11" ht="18" customHeight="1">
      <c r="A58" s="10" t="s">
        <v>58</v>
      </c>
      <c r="B58" s="12">
        <v>6470.7868431327497</v>
      </c>
      <c r="C58" s="12">
        <v>2124.641877</v>
      </c>
      <c r="D58" s="12">
        <v>1095.6184810843238</v>
      </c>
      <c r="E58" s="12">
        <v>782.87687290440044</v>
      </c>
      <c r="F58" s="12">
        <v>5.9060585001529642</v>
      </c>
      <c r="G58" s="12">
        <v>2.713890204877015</v>
      </c>
      <c r="H58" s="13">
        <f t="shared" si="11"/>
        <v>-0.54049046334256146</v>
      </c>
      <c r="I58" s="13">
        <f t="shared" si="12"/>
        <v>-0.67165633353309762</v>
      </c>
      <c r="J58" s="4">
        <f>16+66</f>
        <v>82</v>
      </c>
    </row>
    <row r="59" spans="1:11" ht="18" customHeight="1">
      <c r="A59" s="10" t="s">
        <v>59</v>
      </c>
      <c r="B59" s="12">
        <v>3914.0452079646029</v>
      </c>
      <c r="C59" s="12">
        <v>3128.0364030000001</v>
      </c>
      <c r="D59" s="12">
        <v>85.371364180056048</v>
      </c>
      <c r="E59" s="12">
        <v>90.73602358899997</v>
      </c>
      <c r="F59" s="12">
        <v>45.847284338920979</v>
      </c>
      <c r="G59" s="12">
        <v>34.474030040911067</v>
      </c>
      <c r="H59" s="13">
        <f t="shared" si="11"/>
        <v>-0.24806822174971993</v>
      </c>
      <c r="I59" s="13">
        <f t="shared" si="12"/>
        <v>-0.20081750802601134</v>
      </c>
      <c r="J59" s="4">
        <v>1</v>
      </c>
    </row>
    <row r="60" spans="1:11" ht="18" customHeight="1">
      <c r="A60" s="10" t="s">
        <v>60</v>
      </c>
      <c r="B60" s="12">
        <v>254.86659196037991</v>
      </c>
      <c r="C60" s="12">
        <v>964.36288799999988</v>
      </c>
      <c r="D60" s="12">
        <v>38.022085314922052</v>
      </c>
      <c r="E60" s="12">
        <v>59.351497999999999</v>
      </c>
      <c r="F60" s="12">
        <v>6.7031197749786653</v>
      </c>
      <c r="G60" s="12">
        <v>16.248332737953806</v>
      </c>
      <c r="H60" s="13">
        <f t="shared" si="11"/>
        <v>1.4239955846537922</v>
      </c>
      <c r="I60" s="13">
        <f t="shared" si="12"/>
        <v>2.7837948103842272</v>
      </c>
      <c r="J60" s="4">
        <v>2</v>
      </c>
    </row>
    <row r="64" spans="1:11" ht="18" customHeight="1">
      <c r="A64" s="20" t="s">
        <v>91</v>
      </c>
      <c r="B64" s="20" t="s">
        <v>92</v>
      </c>
      <c r="C64" s="20" t="s">
        <v>93</v>
      </c>
      <c r="D64" s="20" t="s">
        <v>94</v>
      </c>
      <c r="E64" s="20" t="s">
        <v>95</v>
      </c>
      <c r="F64" s="20" t="s">
        <v>96</v>
      </c>
      <c r="G64" s="20" t="s">
        <v>97</v>
      </c>
      <c r="H64" s="20" t="s">
        <v>99</v>
      </c>
      <c r="I64" s="20" t="s">
        <v>100</v>
      </c>
      <c r="J64" s="20" t="s">
        <v>98</v>
      </c>
      <c r="K64" s="20" t="s">
        <v>101</v>
      </c>
    </row>
    <row r="65" spans="1:11" ht="18" customHeight="1">
      <c r="A65" s="20" t="s">
        <v>53</v>
      </c>
      <c r="B65" s="21">
        <v>10553</v>
      </c>
      <c r="C65" s="21">
        <v>7298</v>
      </c>
      <c r="D65" s="22">
        <f>(C65-B65)/B65</f>
        <v>-0.30844309674973941</v>
      </c>
      <c r="E65" s="23">
        <v>225</v>
      </c>
      <c r="F65" s="23">
        <v>258</v>
      </c>
      <c r="G65" s="24">
        <f>(F65-E65)/E65</f>
        <v>0.14666666666666667</v>
      </c>
      <c r="H65" s="25">
        <f t="shared" ref="H65:I69" si="14">B65/E65</f>
        <v>46.902222222222221</v>
      </c>
      <c r="I65" s="25">
        <f t="shared" si="14"/>
        <v>28.286821705426355</v>
      </c>
      <c r="J65" s="26">
        <f>(I65-H65)/H65</f>
        <v>-0.39689804949105184</v>
      </c>
      <c r="K65" s="23">
        <v>10</v>
      </c>
    </row>
    <row r="66" spans="1:11" ht="18" customHeight="1">
      <c r="A66" s="20" t="s">
        <v>52</v>
      </c>
      <c r="B66" s="21">
        <v>9922</v>
      </c>
      <c r="C66" s="21">
        <v>8325</v>
      </c>
      <c r="D66" s="22">
        <f t="shared" ref="D66:D69" si="15">(C66-B66)/B66</f>
        <v>-0.1609554525297319</v>
      </c>
      <c r="E66" s="23">
        <v>323</v>
      </c>
      <c r="F66" s="23">
        <v>303</v>
      </c>
      <c r="G66" s="24">
        <f>(F66-E66)/E66</f>
        <v>-6.1919504643962849E-2</v>
      </c>
      <c r="H66" s="25">
        <f t="shared" si="14"/>
        <v>30.71826625386997</v>
      </c>
      <c r="I66" s="25">
        <f t="shared" si="14"/>
        <v>27.475247524752476</v>
      </c>
      <c r="J66" s="26">
        <f t="shared" ref="J66:J69" si="16">(I66-H66)/H66</f>
        <v>-0.10557297414885615</v>
      </c>
      <c r="K66" s="23">
        <v>10</v>
      </c>
    </row>
    <row r="67" spans="1:11" ht="18" customHeight="1">
      <c r="A67" s="20" t="s">
        <v>102</v>
      </c>
      <c r="B67" s="21">
        <v>6006</v>
      </c>
      <c r="C67" s="21">
        <v>5660</v>
      </c>
      <c r="D67" s="22">
        <f t="shared" si="15"/>
        <v>-5.7609057609057608E-2</v>
      </c>
      <c r="E67" s="23">
        <v>754</v>
      </c>
      <c r="F67" s="23">
        <v>548</v>
      </c>
      <c r="G67" s="24">
        <f>(F67-E67)/E67</f>
        <v>-0.27320954907161804</v>
      </c>
      <c r="H67" s="25">
        <f t="shared" si="14"/>
        <v>7.9655172413793105</v>
      </c>
      <c r="I67" s="25">
        <f t="shared" si="14"/>
        <v>10.328467153284672</v>
      </c>
      <c r="J67" s="26">
        <f t="shared" si="16"/>
        <v>0.29664739153790248</v>
      </c>
      <c r="K67" s="23">
        <v>22</v>
      </c>
    </row>
    <row r="68" spans="1:11" ht="18" customHeight="1">
      <c r="A68" s="20" t="s">
        <v>56</v>
      </c>
      <c r="B68" s="21">
        <v>1802</v>
      </c>
      <c r="C68" s="21">
        <v>1197</v>
      </c>
      <c r="D68" s="22">
        <f t="shared" si="15"/>
        <v>-0.33573806881243062</v>
      </c>
      <c r="E68" s="23">
        <v>301</v>
      </c>
      <c r="F68" s="23">
        <v>125</v>
      </c>
      <c r="G68" s="24">
        <f>(F68-E68)/E68</f>
        <v>-0.58471760797342198</v>
      </c>
      <c r="H68" s="25">
        <f t="shared" si="14"/>
        <v>5.9867109634551499</v>
      </c>
      <c r="I68" s="25">
        <f t="shared" si="14"/>
        <v>9.5760000000000005</v>
      </c>
      <c r="J68" s="26">
        <f t="shared" si="16"/>
        <v>0.59954273029966698</v>
      </c>
      <c r="K68" s="23">
        <v>3</v>
      </c>
    </row>
    <row r="69" spans="1:11" ht="18" customHeight="1">
      <c r="A69" s="20" t="s">
        <v>58</v>
      </c>
      <c r="B69" s="21">
        <v>6471</v>
      </c>
      <c r="C69" s="21">
        <v>2125</v>
      </c>
      <c r="D69" s="22">
        <f t="shared" si="15"/>
        <v>-0.67161180652140318</v>
      </c>
      <c r="E69" s="21">
        <v>1096</v>
      </c>
      <c r="F69" s="23">
        <v>783</v>
      </c>
      <c r="G69" s="24">
        <f>(F69-E69)/E69</f>
        <v>-0.28558394160583944</v>
      </c>
      <c r="H69" s="25">
        <f t="shared" si="14"/>
        <v>5.9041970802919712</v>
      </c>
      <c r="I69" s="25">
        <f t="shared" si="14"/>
        <v>2.7139208173690932</v>
      </c>
      <c r="J69" s="26">
        <f t="shared" si="16"/>
        <v>-0.54034040861744304</v>
      </c>
      <c r="K69" s="23">
        <v>82</v>
      </c>
    </row>
    <row r="70" spans="1:11" ht="18" customHeight="1">
      <c r="B70" s="19">
        <f>SUM(B65:B69)</f>
        <v>34754</v>
      </c>
      <c r="C70" s="19">
        <f>SUM(C65:C69)</f>
        <v>24605</v>
      </c>
    </row>
    <row r="71" spans="1:11" ht="18" customHeight="1">
      <c r="B71" s="4">
        <f>B69/B70</f>
        <v>0.18619439488979686</v>
      </c>
      <c r="C71" s="4">
        <f>C69/C70</f>
        <v>8.6364560048770578E-2</v>
      </c>
    </row>
  </sheetData>
  <mergeCells count="1">
    <mergeCell ref="A15:G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710F-E523-4741-A676-8A3953BA0090}">
  <dimension ref="A1:M49"/>
  <sheetViews>
    <sheetView tabSelected="1" topLeftCell="A29" workbookViewId="0">
      <selection activeCell="O43" sqref="O43"/>
    </sheetView>
  </sheetViews>
  <sheetFormatPr baseColWidth="10" defaultRowHeight="18"/>
  <cols>
    <col min="1" max="1" width="22" style="27" customWidth="1"/>
    <col min="2" max="10" width="12.83203125" style="27" customWidth="1"/>
    <col min="11" max="11" width="14.83203125" style="27" customWidth="1"/>
    <col min="12" max="16384" width="10.83203125" style="27"/>
  </cols>
  <sheetData>
    <row r="1" spans="1:7" ht="25" customHeight="1">
      <c r="A1" s="37" t="s">
        <v>119</v>
      </c>
    </row>
    <row r="3" spans="1:7">
      <c r="E3" s="34" t="s">
        <v>114</v>
      </c>
      <c r="F3" s="34" t="s">
        <v>115</v>
      </c>
      <c r="G3" s="36" t="s">
        <v>120</v>
      </c>
    </row>
    <row r="4" spans="1:7">
      <c r="A4" s="15"/>
      <c r="E4" s="33" t="s">
        <v>108</v>
      </c>
      <c r="F4" s="35">
        <v>19</v>
      </c>
      <c r="G4" s="35"/>
    </row>
    <row r="5" spans="1:7">
      <c r="E5" s="33" t="s">
        <v>109</v>
      </c>
      <c r="F5" s="35">
        <v>55</v>
      </c>
      <c r="G5" s="35"/>
    </row>
    <row r="6" spans="1:7">
      <c r="E6" s="33" t="s">
        <v>110</v>
      </c>
      <c r="F6" s="35">
        <v>8</v>
      </c>
      <c r="G6" s="35"/>
    </row>
    <row r="7" spans="1:7">
      <c r="E7" s="33" t="s">
        <v>111</v>
      </c>
      <c r="F7" s="35">
        <v>15</v>
      </c>
      <c r="G7" s="35"/>
    </row>
    <row r="8" spans="1:7" ht="21">
      <c r="A8" s="28"/>
      <c r="E8" s="33" t="s">
        <v>112</v>
      </c>
      <c r="F8" s="35">
        <f>71+79</f>
        <v>150</v>
      </c>
      <c r="G8" s="35" t="s">
        <v>121</v>
      </c>
    </row>
    <row r="9" spans="1:7">
      <c r="E9" s="33" t="s">
        <v>113</v>
      </c>
      <c r="F9" s="35">
        <f>5+24</f>
        <v>29</v>
      </c>
      <c r="G9" s="35" t="s">
        <v>122</v>
      </c>
    </row>
    <row r="10" spans="1:7">
      <c r="A10" s="15"/>
      <c r="E10" s="33" t="s">
        <v>116</v>
      </c>
      <c r="F10" s="35">
        <f>SUM(F4:F9)</f>
        <v>276</v>
      </c>
      <c r="G10" s="35" t="s">
        <v>123</v>
      </c>
    </row>
    <row r="12" spans="1:7">
      <c r="A12" s="15"/>
    </row>
    <row r="17" spans="1:13">
      <c r="A17" s="60" t="s">
        <v>124</v>
      </c>
      <c r="B17" s="60"/>
      <c r="C17" s="60"/>
      <c r="D17" s="60"/>
    </row>
    <row r="18" spans="1:13">
      <c r="A18" s="42" t="s">
        <v>89</v>
      </c>
      <c r="B18" s="42" t="s">
        <v>71</v>
      </c>
      <c r="C18" s="42" t="s">
        <v>72</v>
      </c>
      <c r="D18" s="42" t="s">
        <v>73</v>
      </c>
      <c r="E18" s="42" t="s">
        <v>120</v>
      </c>
    </row>
    <row r="19" spans="1:13">
      <c r="A19" s="38" t="s">
        <v>82</v>
      </c>
      <c r="B19" s="39">
        <v>31602.2294777721</v>
      </c>
      <c r="C19" s="39">
        <v>29213.612974</v>
      </c>
      <c r="D19" s="40">
        <v>-7.5999999999999998E-2</v>
      </c>
      <c r="E19" s="35"/>
    </row>
    <row r="20" spans="1:13">
      <c r="A20" s="38" t="s">
        <v>84</v>
      </c>
      <c r="B20" s="39">
        <v>10103.3881090872</v>
      </c>
      <c r="C20" s="39">
        <v>7258.2719880375698</v>
      </c>
      <c r="D20" s="40">
        <v>-0.28199999999999997</v>
      </c>
      <c r="E20" s="35"/>
    </row>
    <row r="21" spans="1:13">
      <c r="A21" s="38" t="s">
        <v>85</v>
      </c>
      <c r="B21" s="39">
        <v>327.5</v>
      </c>
      <c r="C21" s="39">
        <v>271.33333333333297</v>
      </c>
      <c r="D21" s="40">
        <v>-0.17199999999999999</v>
      </c>
      <c r="E21" s="35"/>
    </row>
    <row r="22" spans="1:13">
      <c r="A22" s="38" t="s">
        <v>103</v>
      </c>
      <c r="B22" s="39">
        <v>16.441550201642499</v>
      </c>
      <c r="C22" s="39">
        <v>17.9047992350303</v>
      </c>
      <c r="D22" s="40">
        <v>8.8999999999999996E-2</v>
      </c>
      <c r="E22" s="61" t="s">
        <v>125</v>
      </c>
    </row>
    <row r="23" spans="1:13">
      <c r="A23" s="38" t="s">
        <v>86</v>
      </c>
      <c r="B23" s="41">
        <f>B19/B20</f>
        <v>3.1278843430104786</v>
      </c>
      <c r="C23" s="41">
        <f>C19/C20</f>
        <v>4.0248716253878669</v>
      </c>
      <c r="D23" s="40">
        <f>(C23-B23)/B23</f>
        <v>0.28677124343864635</v>
      </c>
      <c r="E23" s="62"/>
    </row>
    <row r="27" spans="1:13">
      <c r="A27" s="60" t="s">
        <v>129</v>
      </c>
      <c r="B27" s="60"/>
      <c r="C27" s="60"/>
      <c r="D27" s="60"/>
      <c r="E27" s="29"/>
    </row>
    <row r="28" spans="1:13">
      <c r="A28" s="30"/>
      <c r="B28" s="29"/>
      <c r="C28" s="29"/>
      <c r="D28" s="29"/>
      <c r="E28" s="29"/>
    </row>
    <row r="29" spans="1:13" s="31" customFormat="1" ht="43" customHeight="1">
      <c r="A29" s="54" t="s">
        <v>91</v>
      </c>
      <c r="B29" s="55" t="s">
        <v>92</v>
      </c>
      <c r="C29" s="55" t="s">
        <v>93</v>
      </c>
      <c r="D29" s="55" t="s">
        <v>94</v>
      </c>
      <c r="E29" s="55" t="s">
        <v>95</v>
      </c>
      <c r="F29" s="55" t="s">
        <v>96</v>
      </c>
      <c r="G29" s="55" t="s">
        <v>97</v>
      </c>
      <c r="H29" s="55" t="s">
        <v>99</v>
      </c>
      <c r="I29" s="55" t="s">
        <v>100</v>
      </c>
      <c r="J29" s="54" t="s">
        <v>98</v>
      </c>
      <c r="K29" s="54" t="s">
        <v>101</v>
      </c>
      <c r="L29" s="54" t="s">
        <v>130</v>
      </c>
      <c r="M29" s="54" t="s">
        <v>131</v>
      </c>
    </row>
    <row r="30" spans="1:13">
      <c r="A30" s="45" t="s">
        <v>53</v>
      </c>
      <c r="B30" s="46">
        <v>10553</v>
      </c>
      <c r="C30" s="46">
        <v>7298</v>
      </c>
      <c r="D30" s="52">
        <f>(C30-B30)/B30</f>
        <v>-0.30844309674973941</v>
      </c>
      <c r="E30" s="47">
        <v>225</v>
      </c>
      <c r="F30" s="47">
        <v>258</v>
      </c>
      <c r="G30" s="48">
        <f>(F30-E30)/E30</f>
        <v>0.14666666666666667</v>
      </c>
      <c r="H30" s="53">
        <f t="shared" ref="H30:I34" si="0">B30/E30</f>
        <v>46.902222222222221</v>
      </c>
      <c r="I30" s="53">
        <f t="shared" si="0"/>
        <v>28.286821705426355</v>
      </c>
      <c r="J30" s="48">
        <f>(I30-H30)/H30</f>
        <v>-0.39689804949105184</v>
      </c>
      <c r="K30" s="49">
        <v>10</v>
      </c>
      <c r="L30" s="56">
        <f>C30/$C$35</f>
        <v>0.29660638081690716</v>
      </c>
      <c r="M30" s="56">
        <f>F30/$F$35</f>
        <v>0.1279127416955875</v>
      </c>
    </row>
    <row r="31" spans="1:13">
      <c r="A31" s="45" t="s">
        <v>52</v>
      </c>
      <c r="B31" s="46">
        <v>9922</v>
      </c>
      <c r="C31" s="46">
        <v>8325</v>
      </c>
      <c r="D31" s="52">
        <f t="shared" ref="D31:D34" si="1">(C31-B31)/B31</f>
        <v>-0.1609554525297319</v>
      </c>
      <c r="E31" s="47">
        <v>323</v>
      </c>
      <c r="F31" s="47">
        <v>303</v>
      </c>
      <c r="G31" s="48">
        <f t="shared" ref="G31:G34" si="2">(F31-E31)/E31</f>
        <v>-6.1919504643962849E-2</v>
      </c>
      <c r="H31" s="53">
        <f t="shared" si="0"/>
        <v>30.71826625386997</v>
      </c>
      <c r="I31" s="53">
        <f t="shared" si="0"/>
        <v>27.475247524752476</v>
      </c>
      <c r="J31" s="48">
        <f t="shared" ref="J31:J34" si="3">(I31-H31)/H31</f>
        <v>-0.10557297414885615</v>
      </c>
      <c r="K31" s="49">
        <v>10</v>
      </c>
      <c r="L31" s="56">
        <f t="shared" ref="L31:L34" si="4">C31/$C$35</f>
        <v>0.33834586466165412</v>
      </c>
      <c r="M31" s="56">
        <f t="shared" ref="M31:M34" si="5">F31/$F$35</f>
        <v>0.15022310361923649</v>
      </c>
    </row>
    <row r="32" spans="1:13">
      <c r="A32" s="45" t="s">
        <v>104</v>
      </c>
      <c r="B32" s="46">
        <v>6006</v>
      </c>
      <c r="C32" s="46">
        <v>5660</v>
      </c>
      <c r="D32" s="52">
        <f t="shared" si="1"/>
        <v>-5.7609057609057608E-2</v>
      </c>
      <c r="E32" s="47">
        <v>754</v>
      </c>
      <c r="F32" s="47">
        <v>548</v>
      </c>
      <c r="G32" s="48">
        <f t="shared" si="2"/>
        <v>-0.27320954907161804</v>
      </c>
      <c r="H32" s="53">
        <f t="shared" si="0"/>
        <v>7.9655172413793105</v>
      </c>
      <c r="I32" s="53">
        <f t="shared" si="0"/>
        <v>10.328467153284672</v>
      </c>
      <c r="J32" s="48">
        <f t="shared" si="3"/>
        <v>0.29664739153790248</v>
      </c>
      <c r="K32" s="49">
        <v>22</v>
      </c>
      <c r="L32" s="56">
        <f t="shared" si="4"/>
        <v>0.2300345458240195</v>
      </c>
      <c r="M32" s="56">
        <f t="shared" si="5"/>
        <v>0.27169062964799207</v>
      </c>
    </row>
    <row r="33" spans="1:13">
      <c r="A33" s="45" t="s">
        <v>56</v>
      </c>
      <c r="B33" s="46">
        <v>1802</v>
      </c>
      <c r="C33" s="46">
        <v>1197</v>
      </c>
      <c r="D33" s="52">
        <f t="shared" si="1"/>
        <v>-0.33573806881243062</v>
      </c>
      <c r="E33" s="47">
        <v>301</v>
      </c>
      <c r="F33" s="47">
        <v>125</v>
      </c>
      <c r="G33" s="48">
        <f t="shared" si="2"/>
        <v>-0.58471760797342198</v>
      </c>
      <c r="H33" s="53">
        <f t="shared" si="0"/>
        <v>5.9867109634551499</v>
      </c>
      <c r="I33" s="53">
        <f t="shared" si="0"/>
        <v>9.5760000000000005</v>
      </c>
      <c r="J33" s="48">
        <f t="shared" si="3"/>
        <v>0.59954273029966698</v>
      </c>
      <c r="K33" s="49">
        <v>3</v>
      </c>
      <c r="L33" s="56">
        <f t="shared" si="4"/>
        <v>4.8648648648648651E-2</v>
      </c>
      <c r="M33" s="56">
        <f t="shared" si="5"/>
        <v>6.1973227565691624E-2</v>
      </c>
    </row>
    <row r="34" spans="1:13">
      <c r="A34" s="45" t="s">
        <v>58</v>
      </c>
      <c r="B34" s="46">
        <v>6471</v>
      </c>
      <c r="C34" s="46">
        <v>2125</v>
      </c>
      <c r="D34" s="52">
        <f t="shared" si="1"/>
        <v>-0.67161180652140318</v>
      </c>
      <c r="E34" s="46">
        <v>1096</v>
      </c>
      <c r="F34" s="47">
        <v>783</v>
      </c>
      <c r="G34" s="48">
        <f t="shared" si="2"/>
        <v>-0.28558394160583944</v>
      </c>
      <c r="H34" s="53">
        <f t="shared" si="0"/>
        <v>5.9041970802919712</v>
      </c>
      <c r="I34" s="53">
        <f t="shared" si="0"/>
        <v>2.7139208173690932</v>
      </c>
      <c r="J34" s="48">
        <f t="shared" si="3"/>
        <v>-0.54034040861744304</v>
      </c>
      <c r="K34" s="49">
        <v>82</v>
      </c>
      <c r="L34" s="56">
        <f t="shared" si="4"/>
        <v>8.6364560048770578E-2</v>
      </c>
      <c r="M34" s="56">
        <f t="shared" si="5"/>
        <v>0.38820029747149232</v>
      </c>
    </row>
    <row r="35" spans="1:13">
      <c r="A35" s="43" t="s">
        <v>116</v>
      </c>
      <c r="B35" s="46">
        <f>SUM(B30:B34)</f>
        <v>34754</v>
      </c>
      <c r="C35" s="46">
        <f>SUM(C30:C34)</f>
        <v>24605</v>
      </c>
      <c r="D35" s="44"/>
      <c r="E35" s="46">
        <f>SUM(E30:E34)</f>
        <v>2699</v>
      </c>
      <c r="F35" s="46">
        <f>SUM(F30:F34)</f>
        <v>2017</v>
      </c>
      <c r="G35" s="48">
        <f>(F35-E35)/E35</f>
        <v>-0.25268618006669136</v>
      </c>
      <c r="H35" s="35"/>
      <c r="I35" s="35"/>
      <c r="J35" s="35"/>
      <c r="K35" s="35"/>
      <c r="L35" s="35"/>
      <c r="M35" s="35"/>
    </row>
    <row r="36" spans="1:13">
      <c r="A36" s="30"/>
      <c r="B36" s="57"/>
      <c r="C36" s="57"/>
      <c r="D36" s="29"/>
      <c r="E36" s="57"/>
      <c r="F36" s="57"/>
      <c r="G36" s="58"/>
    </row>
    <row r="37" spans="1:13">
      <c r="A37" s="60" t="s">
        <v>132</v>
      </c>
      <c r="B37" s="60"/>
      <c r="C37" s="60"/>
      <c r="D37" s="60"/>
      <c r="E37" s="57"/>
      <c r="F37" s="57"/>
      <c r="G37" s="58"/>
    </row>
    <row r="38" spans="1:13">
      <c r="B38" s="32"/>
      <c r="C38" s="32"/>
    </row>
    <row r="39" spans="1:13" ht="25" customHeight="1">
      <c r="A39" s="50" t="s">
        <v>74</v>
      </c>
      <c r="B39" s="66" t="s">
        <v>75</v>
      </c>
      <c r="C39" s="67"/>
      <c r="D39" s="67"/>
      <c r="E39" s="67"/>
      <c r="F39" s="67"/>
      <c r="G39" s="67"/>
      <c r="H39" s="67"/>
      <c r="I39" s="67"/>
      <c r="J39" s="67"/>
      <c r="K39" s="68"/>
    </row>
    <row r="40" spans="1:13" ht="25" customHeight="1">
      <c r="A40" s="51" t="s">
        <v>76</v>
      </c>
      <c r="B40" s="63" t="s">
        <v>77</v>
      </c>
      <c r="C40" s="64"/>
      <c r="D40" s="64"/>
      <c r="E40" s="64"/>
      <c r="F40" s="64"/>
      <c r="G40" s="64"/>
      <c r="H40" s="64"/>
      <c r="I40" s="64"/>
      <c r="J40" s="64"/>
      <c r="K40" s="65"/>
    </row>
    <row r="41" spans="1:13" ht="25" customHeight="1">
      <c r="A41" s="51" t="s">
        <v>78</v>
      </c>
      <c r="B41" s="63" t="s">
        <v>87</v>
      </c>
      <c r="C41" s="64"/>
      <c r="D41" s="64"/>
      <c r="E41" s="64"/>
      <c r="F41" s="64"/>
      <c r="G41" s="64"/>
      <c r="H41" s="64"/>
      <c r="I41" s="64"/>
      <c r="J41" s="64"/>
      <c r="K41" s="65"/>
    </row>
    <row r="42" spans="1:13" ht="25" customHeight="1">
      <c r="A42" s="51" t="s">
        <v>79</v>
      </c>
      <c r="B42" s="70" t="s">
        <v>80</v>
      </c>
      <c r="C42" s="70"/>
      <c r="D42" s="70"/>
      <c r="E42" s="70"/>
      <c r="F42" s="70"/>
      <c r="G42" s="70"/>
      <c r="H42" s="70"/>
      <c r="I42" s="70"/>
      <c r="J42" s="70"/>
      <c r="K42" s="70"/>
    </row>
    <row r="43" spans="1:13" ht="25" customHeight="1">
      <c r="A43" s="51" t="s">
        <v>81</v>
      </c>
      <c r="B43" s="63" t="s">
        <v>127</v>
      </c>
      <c r="C43" s="64"/>
      <c r="D43" s="64"/>
      <c r="E43" s="64"/>
      <c r="F43" s="64"/>
      <c r="G43" s="64"/>
      <c r="H43" s="64"/>
      <c r="I43" s="64"/>
      <c r="J43" s="64"/>
      <c r="K43" s="65"/>
    </row>
    <row r="44" spans="1:13" ht="25" customHeight="1">
      <c r="A44" s="69" t="s">
        <v>133</v>
      </c>
      <c r="B44" s="63" t="s">
        <v>134</v>
      </c>
      <c r="C44" s="64"/>
      <c r="D44" s="64"/>
      <c r="E44" s="64"/>
      <c r="F44" s="64"/>
      <c r="G44" s="64"/>
      <c r="H44" s="64"/>
      <c r="I44" s="64"/>
      <c r="J44" s="64"/>
      <c r="K44" s="65"/>
    </row>
    <row r="45" spans="1:13" ht="25" customHeight="1">
      <c r="A45" s="69"/>
      <c r="B45" s="63" t="s">
        <v>135</v>
      </c>
      <c r="C45" s="64"/>
      <c r="D45" s="64"/>
      <c r="E45" s="64"/>
      <c r="F45" s="64"/>
      <c r="G45" s="64"/>
      <c r="H45" s="64"/>
      <c r="I45" s="64"/>
      <c r="J45" s="64"/>
      <c r="K45" s="65"/>
    </row>
    <row r="46" spans="1:13" ht="25" customHeight="1">
      <c r="A46" s="69"/>
      <c r="B46" s="63" t="s">
        <v>118</v>
      </c>
      <c r="C46" s="64"/>
      <c r="D46" s="64"/>
      <c r="E46" s="64"/>
      <c r="F46" s="64"/>
      <c r="G46" s="64"/>
      <c r="H46" s="64"/>
      <c r="I46" s="64"/>
      <c r="J46" s="64"/>
      <c r="K46" s="65"/>
    </row>
    <row r="47" spans="1:13" ht="25" customHeight="1">
      <c r="A47" s="51" t="s">
        <v>107</v>
      </c>
      <c r="B47" s="63" t="s">
        <v>128</v>
      </c>
      <c r="C47" s="64"/>
      <c r="D47" s="64"/>
      <c r="E47" s="64"/>
      <c r="F47" s="64"/>
      <c r="G47" s="64"/>
      <c r="H47" s="64"/>
      <c r="I47" s="64"/>
      <c r="J47" s="64"/>
      <c r="K47" s="65"/>
    </row>
    <row r="48" spans="1:13" ht="25" customHeight="1">
      <c r="A48" s="51" t="s">
        <v>105</v>
      </c>
      <c r="B48" s="63" t="s">
        <v>106</v>
      </c>
      <c r="C48" s="64"/>
      <c r="D48" s="64"/>
      <c r="E48" s="64"/>
      <c r="F48" s="64"/>
      <c r="G48" s="64"/>
      <c r="H48" s="64"/>
      <c r="I48" s="64"/>
      <c r="J48" s="64"/>
      <c r="K48" s="65"/>
    </row>
    <row r="49" ht="25" customHeight="1"/>
  </sheetData>
  <mergeCells count="15">
    <mergeCell ref="B42:K42"/>
    <mergeCell ref="B43:K43"/>
    <mergeCell ref="B48:K48"/>
    <mergeCell ref="A44:A46"/>
    <mergeCell ref="B44:K44"/>
    <mergeCell ref="B45:K45"/>
    <mergeCell ref="B46:K46"/>
    <mergeCell ref="B47:K47"/>
    <mergeCell ref="A17:D17"/>
    <mergeCell ref="E22:E23"/>
    <mergeCell ref="A27:D27"/>
    <mergeCell ref="B40:K40"/>
    <mergeCell ref="B41:K41"/>
    <mergeCell ref="B39:K39"/>
    <mergeCell ref="A37:D37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底表</vt:lpstr>
      <vt:lpstr>主要发现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王秋雨</dc:creator>
  <cp:lastModifiedBy>王秋雨</cp:lastModifiedBy>
  <dcterms:created xsi:type="dcterms:W3CDTF">2025-07-30T06:26:01Z</dcterms:created>
  <dcterms:modified xsi:type="dcterms:W3CDTF">2025-07-31T10:35:45Z</dcterms:modified>
</cp:coreProperties>
</file>